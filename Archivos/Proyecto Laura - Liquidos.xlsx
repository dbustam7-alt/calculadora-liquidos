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quidos" sheetId="1" r:id="rId5"/>
    <sheet state="visible" name="Reglas" sheetId="2" r:id="rId6"/>
    <sheet state="visible" name="MockUps" sheetId="3" r:id="rId7"/>
    <sheet state="visible" name="Otros" sheetId="4" r:id="rId8"/>
  </sheets>
  <definedNames/>
  <calcPr/>
</workbook>
</file>

<file path=xl/sharedStrings.xml><?xml version="1.0" encoding="utf-8"?>
<sst xmlns="http://schemas.openxmlformats.org/spreadsheetml/2006/main" count="126" uniqueCount="89">
  <si>
    <t>Ventana Inicial</t>
  </si>
  <si>
    <t xml:space="preserve">Configuración </t>
  </si>
  <si>
    <t>Configuración</t>
  </si>
  <si>
    <t xml:space="preserve">
1. Descripción de la Aplicación
Objetivos: Proporcionar una herramienta digital precisa que automatice el cálculo de líquidos en pediatría (mantenimiento, deshidratación, quemados y cetoacidosis), eliminando errores manuales en situaciones de alta presión clínica.
Público: Médicos pediatras, médicos generales, residentes y personal de enfermería que laboran en servicios de urgencias y hospitalización pediátrica.
Utilidad: Centraliza en una sola interfaz diversos protocolos médicos (Planes A, B y C de EDA, Holliday-Segar, Parkland modificado, entre otros), permitiendo obtener un resultado completo en segundos simplemente ingresando el peso y la edad del paciente.
2. Sustentación Técnica y Algoritmos
Base de Datos: El aplicativo utiliza una arquitectura de datos organizada por Módulos de Patología. Cada módulo (como EDA o Cetoacidosis) consulta tablas de parámetros fijos que definen los rangos de seguridad y las constantes de cálculo según el peso del paciente. Esto asegura que la lógica de negocio esté separada de la interfaz de usuario.
Algoritmos de Cálculo:
Método de Holliday-Segar: Aplicado para líquidos de mantenimiento. Calcula 100 ml/kg para los primeros 10kg, 50 ml/kg para los siguientes 10kg y 20 ml/kg adicionales por cada kilo extra.
Protocolo de Rehidratación (Plan A, B, C): Algoritmos de decisión lógica que determinan la cantidad de suero o bolos de Ringer Lactato (ej. 30 ml/kg o 70 ml/kg) basándose en la gravedad de la deshidratación y la edad.
Fórmulas de Superficie Corporal: Para pacientes mayores de 30 kg, el algoritmo cambia automáticamente la base del cálculo de peso simple a metros cuadrados de superficie corporal para evitar sobrehidratación.
3. Valor Agregado
Apoyo a la Toma de Decisiones: La aplicación actúa como un filtro de seguridad. Al ingresar los datos, el sistema valida automáticamente si el tratamiento sugerido coincide con las guías de práctica clínica, alertando al médico sobre dosis inusuales o condiciones críticas (como la necesidad de administrar Zinc en casos de diarrea).
Educación Médica: El aplicativo no es una "caja negra". Al generar el resultado, muestra la interpretación de la condición (ej. "Shock Hipovolémico") y los pasos a seguir. Esto refuerza el conocimiento del personal asistencial sobre los protocolos institucionales, sirviendo como guía de entrenamiento continuo mientras se atiende al paciente.
</t>
  </si>
  <si>
    <t>Liquidos</t>
  </si>
  <si>
    <r>
      <rPr>
        <rFont val="Arial"/>
        <color theme="1"/>
      </rPr>
      <t>La configuración se realiza inicialmente por el</t>
    </r>
    <r>
      <rPr>
        <rFont val="Arial"/>
        <b/>
        <i/>
        <color theme="1"/>
      </rPr>
      <t xml:space="preserve"> tipo de liquido,</t>
    </r>
    <r>
      <rPr>
        <rFont val="Arial"/>
        <color theme="1"/>
      </rPr>
      <t xml:space="preserve"> donde se tienen cuatro opciones:
1. Enfermedad Diarreica Aguda
2. Liquidos de Matenimiento.
3. Quemados.
4. Cetoacidosis Diabetica
Posterior a esto en el caso donde se seleccione la opción de configuración inicial "</t>
    </r>
    <r>
      <rPr>
        <rFont val="Arial"/>
        <b/>
        <i/>
        <color theme="1"/>
      </rPr>
      <t>Enfermedad Diarreica Aguda</t>
    </r>
    <r>
      <rPr>
        <rFont val="Arial"/>
        <color theme="1"/>
      </rPr>
      <t>", el usuario debe seleccionar tres tipos de opciones. 
1. Plan A.
2. Plan B.
3. Plan C. 
En los casos donde se seleccione el tipo: "</t>
    </r>
    <r>
      <rPr>
        <rFont val="Arial"/>
        <b/>
        <i/>
        <color theme="1"/>
      </rPr>
      <t>Plan C</t>
    </r>
    <r>
      <rPr>
        <rFont val="Arial"/>
        <color theme="1"/>
      </rPr>
      <t xml:space="preserve">", se debe seleccionar también: 
1. Deshidratación Grave
2. Shock Hipovolemico
En los casos donde el tipo de liquido sea para </t>
    </r>
    <r>
      <rPr>
        <rFont val="Arial"/>
        <b/>
        <i/>
        <color theme="1"/>
      </rPr>
      <t xml:space="preserve">quemados </t>
    </r>
    <r>
      <rPr>
        <rFont val="Arial"/>
        <color theme="1"/>
      </rPr>
      <t xml:space="preserve">el usuario debe hacer tres cofiguraciones:
1. </t>
    </r>
    <r>
      <rPr>
        <rFont val="Arial"/>
        <b/>
        <color theme="1"/>
      </rPr>
      <t xml:space="preserve">Opciones: </t>
    </r>
    <r>
      <rPr>
        <rFont val="Arial"/>
        <color theme="1"/>
      </rPr>
      <t xml:space="preserve">Donde debe seleccionar </t>
    </r>
    <r>
      <rPr>
        <rFont val="Arial"/>
        <b/>
        <i/>
        <color theme="1"/>
      </rPr>
      <t>"Galveston"</t>
    </r>
    <r>
      <rPr>
        <rFont val="Arial"/>
        <color theme="1"/>
      </rPr>
      <t xml:space="preserve"> o </t>
    </r>
    <r>
      <rPr>
        <rFont val="Arial"/>
        <b/>
        <i/>
        <color theme="1"/>
      </rPr>
      <t xml:space="preserve">"Pakland"
</t>
    </r>
    <r>
      <rPr>
        <rFont val="Arial"/>
        <color theme="1"/>
      </rPr>
      <t xml:space="preserve">2. </t>
    </r>
    <r>
      <rPr>
        <rFont val="Arial"/>
        <b/>
        <color theme="1"/>
      </rPr>
      <t xml:space="preserve">Tipo Quemadura: </t>
    </r>
    <r>
      <rPr>
        <rFont val="Arial"/>
        <color theme="1"/>
      </rPr>
      <t xml:space="preserve">Donde debe seleccionar </t>
    </r>
    <r>
      <rPr>
        <rFont val="Arial"/>
        <b/>
        <i/>
        <color theme="1"/>
      </rPr>
      <t xml:space="preserve">"Termica" </t>
    </r>
    <r>
      <rPr>
        <rFont val="Arial"/>
        <color theme="1"/>
      </rPr>
      <t xml:space="preserve">o </t>
    </r>
    <r>
      <rPr>
        <rFont val="Arial"/>
        <b/>
        <i/>
        <color theme="1"/>
      </rPr>
      <t xml:space="preserve">"Inhalación". 
</t>
    </r>
    <r>
      <rPr>
        <rFont val="Arial"/>
        <color theme="1"/>
      </rPr>
      <t xml:space="preserve">3. </t>
    </r>
    <r>
      <rPr>
        <rFont val="Arial"/>
        <b/>
        <color theme="1"/>
      </rPr>
      <t>% Superficie Corporal Quemada.</t>
    </r>
    <r>
      <rPr>
        <rFont val="Arial"/>
        <color theme="1"/>
      </rPr>
      <t xml:space="preserve"> </t>
    </r>
  </si>
  <si>
    <t>Quemados</t>
  </si>
  <si>
    <t>Parametros</t>
  </si>
  <si>
    <t>Ejemplo Información 1</t>
  </si>
  <si>
    <t>Configuración para Enfermedad Diarreica Aguda</t>
  </si>
  <si>
    <r>
      <rPr>
        <rFont val="Arial"/>
        <color theme="1"/>
      </rPr>
      <t xml:space="preserve">Es indisplensable seleccionar algunos parametros, que son relevantes para algunos tipos de liquidos
- </t>
    </r>
    <r>
      <rPr>
        <rFont val="Arial"/>
        <b/>
        <i/>
        <color theme="1"/>
      </rPr>
      <t xml:space="preserve">Edad en años </t>
    </r>
    <r>
      <rPr>
        <rFont val="Arial"/>
        <color theme="1"/>
      </rPr>
      <t xml:space="preserve">(Indispensable para Enfermedad Diarreica Aguda)
- </t>
    </r>
    <r>
      <rPr>
        <rFont val="Arial"/>
        <b/>
        <color theme="1"/>
      </rPr>
      <t>Menor de 1 año</t>
    </r>
    <r>
      <rPr>
        <rFont val="Arial"/>
        <color theme="1"/>
      </rPr>
      <t xml:space="preserve"> (Indispensable para Enfermedad Diarreica Aguda).
- </t>
    </r>
    <r>
      <rPr>
        <rFont val="Arial"/>
        <b/>
        <i/>
        <color theme="1"/>
      </rPr>
      <t>Peso en Kg</t>
    </r>
    <r>
      <rPr>
        <rFont val="Arial"/>
        <color theme="1"/>
      </rPr>
      <t xml:space="preserve"> (Indispensable para los 4 tipos de liquidos) </t>
    </r>
  </si>
  <si>
    <t>Opciones</t>
  </si>
  <si>
    <t xml:space="preserve">Explicación de cada tipo de liquido. </t>
  </si>
  <si>
    <t>Plan C</t>
  </si>
  <si>
    <r>
      <rPr>
        <rFont val="Arial"/>
        <b/>
        <color theme="1"/>
      </rPr>
      <t xml:space="preserve">Nota: </t>
    </r>
    <r>
      <rPr>
        <rFont val="Arial"/>
        <color theme="1"/>
      </rPr>
      <t>Aplica en liquidos de Enfermedad Diarreica Aguda.</t>
    </r>
  </si>
  <si>
    <t>Enfermedad Diarreica Aguda</t>
  </si>
  <si>
    <t>Tipo Plan C</t>
  </si>
  <si>
    <t>Ejemplo Información 2</t>
  </si>
  <si>
    <t>Shock Hipovolemico</t>
  </si>
  <si>
    <r>
      <rPr>
        <rFont val="Arial"/>
        <b/>
        <color theme="1"/>
      </rPr>
      <t xml:space="preserve">Nota: </t>
    </r>
    <r>
      <rPr>
        <rFont val="Arial"/>
        <color theme="1"/>
      </rPr>
      <t>Aplica en liquidos de Enfermedad Diarreica Aguda con plan C.</t>
    </r>
  </si>
  <si>
    <t>Configuración para Quemados</t>
  </si>
  <si>
    <r>
      <rPr>
        <rFont val="Arial"/>
        <b/>
        <i/>
        <color theme="1"/>
      </rPr>
      <t xml:space="preserve">Si </t>
    </r>
    <r>
      <rPr>
        <rFont val="Arial"/>
        <color theme="1"/>
      </rPr>
      <t xml:space="preserve">opción Plan = A, entonces, 
     </t>
    </r>
    <r>
      <rPr>
        <rFont val="Arial"/>
        <b/>
        <i/>
        <color theme="1"/>
      </rPr>
      <t xml:space="preserve">Si </t>
    </r>
    <r>
      <rPr>
        <rFont val="Arial"/>
        <color theme="1"/>
      </rPr>
      <t xml:space="preserve">"Edad" &lt;= "2 Años"; Entonces; 
             </t>
    </r>
    <r>
      <rPr>
        <rFont val="Arial"/>
        <b/>
        <color theme="1"/>
      </rPr>
      <t xml:space="preserve">Mensaje: </t>
    </r>
    <r>
      <rPr>
        <rFont val="Arial"/>
        <color theme="1"/>
      </rPr>
      <t xml:space="preserve">"50 a 100 Ml y suero despues de cada deposición"
      </t>
    </r>
    <r>
      <rPr>
        <rFont val="Arial"/>
        <b/>
        <i/>
        <color theme="1"/>
      </rPr>
      <t>Sino</t>
    </r>
    <r>
      <rPr>
        <rFont val="Arial"/>
        <color theme="1"/>
      </rPr>
      <t xml:space="preserve"> "Edad" &lt; "2 Años"; Entonces; 
             </t>
    </r>
    <r>
      <rPr>
        <rFont val="Arial"/>
        <b/>
        <color theme="1"/>
      </rPr>
      <t>Mensaje</t>
    </r>
    <r>
      <rPr>
        <rFont val="Arial"/>
        <color theme="1"/>
      </rPr>
      <t xml:space="preserve">: "100 a 200 ml y suero despues de cada deposición".
    </t>
    </r>
    <r>
      <rPr>
        <rFont val="Arial"/>
        <b/>
        <i/>
        <color theme="1"/>
      </rPr>
      <t xml:space="preserve">  Fin
Sino
     Si</t>
    </r>
    <r>
      <rPr>
        <rFont val="Arial"/>
        <color theme="1"/>
      </rPr>
      <t xml:space="preserve"> opción Plan = B, entonces, 
             </t>
    </r>
    <r>
      <rPr>
        <rFont val="Arial"/>
        <b/>
        <color theme="1"/>
      </rPr>
      <t>Resultaddo:</t>
    </r>
    <r>
      <rPr>
        <rFont val="Arial"/>
        <color theme="1"/>
      </rPr>
      <t xml:space="preserve"> "Peso"x"25 cc/kg/h" 
            </t>
    </r>
    <r>
      <rPr>
        <rFont val="Arial"/>
        <b/>
        <color theme="1"/>
      </rPr>
      <t xml:space="preserve"> Mensaje:</t>
    </r>
    <r>
      <rPr>
        <rFont val="Arial"/>
        <color theme="1"/>
      </rPr>
      <t xml:space="preserve"> "Suministre "Resultado" cada hora, durante unicamente 4 horas y posterior a las 4 horas reevaluar". 
            </t>
    </r>
    <r>
      <rPr>
        <rFont val="Arial"/>
        <b/>
        <color theme="1"/>
      </rPr>
      <t>Obersevación:</t>
    </r>
    <r>
      <rPr>
        <rFont val="Arial"/>
        <color theme="1"/>
      </rPr>
      <t xml:space="preserve"> "El suministro se puede realizar por via oral o parental de acuerdo a la tolerancia del paciente".    
  </t>
    </r>
    <r>
      <rPr>
        <rFont val="Arial"/>
        <b/>
        <i/>
        <color theme="1"/>
      </rPr>
      <t xml:space="preserve">   Sino 
     Si </t>
    </r>
    <r>
      <rPr>
        <rFont val="Arial"/>
        <color theme="1"/>
      </rPr>
      <t xml:space="preserve">opción Plan = C entonces,  
        </t>
    </r>
    <r>
      <rPr>
        <rFont val="Arial"/>
        <b/>
        <i/>
        <color theme="1"/>
      </rPr>
      <t xml:space="preserve"> Si </t>
    </r>
    <r>
      <rPr>
        <rFont val="Arial"/>
        <color theme="1"/>
      </rPr>
      <t xml:space="preserve">"Tipo Plan C" = "Deshidratacion Grave" 
              </t>
    </r>
    <r>
      <rPr>
        <rFont val="Arial"/>
        <b/>
        <i/>
        <color theme="1"/>
      </rPr>
      <t xml:space="preserve">Si </t>
    </r>
    <r>
      <rPr>
        <rFont val="Arial"/>
        <color theme="1"/>
      </rPr>
      <t xml:space="preserve">"Menor de 1 año" &lt;= "Si" 
                   </t>
    </r>
    <r>
      <rPr>
        <rFont val="Arial"/>
        <b/>
        <color theme="1"/>
      </rPr>
      <t>Mensaje :</t>
    </r>
    <r>
      <rPr>
        <rFont val="Arial"/>
        <color theme="1"/>
      </rPr>
      <t xml:space="preserve"> "Disponer 30 ml x kg en 1 hora, despues de 1 hora aplicar 70 ml x kg en 5 horas".
              </t>
    </r>
    <r>
      <rPr>
        <rFont val="Arial"/>
        <b/>
        <i/>
        <color theme="1"/>
      </rPr>
      <t xml:space="preserve"> Sino </t>
    </r>
    <r>
      <rPr>
        <rFont val="Arial"/>
        <color theme="1"/>
      </rPr>
      <t xml:space="preserve">
               "Menor de 1 año" &gt; "No"
                   </t>
    </r>
    <r>
      <rPr>
        <rFont val="Arial"/>
        <b/>
        <color theme="1"/>
      </rPr>
      <t xml:space="preserve">Mensaje: </t>
    </r>
    <r>
      <rPr>
        <rFont val="Arial"/>
        <color theme="1"/>
      </rPr>
      <t xml:space="preserve">"Disponer 30 ml x kg en 30 minutos, despues de 30 minutos aplicar 70 ml x kg en 2,5 Horas".
             </t>
    </r>
    <r>
      <rPr>
        <rFont val="Arial"/>
        <b/>
        <i/>
        <color theme="1"/>
      </rPr>
      <t xml:space="preserve">  Fin
          Sino  
               Si</t>
    </r>
    <r>
      <rPr>
        <rFont val="Arial"/>
        <color theme="1"/>
      </rPr>
      <t xml:space="preserve"> "Tipo Plan C" = "Shock Hipervolemico"
                    </t>
    </r>
    <r>
      <rPr>
        <rFont val="Arial"/>
        <b/>
        <color theme="1"/>
      </rPr>
      <t>Mensaje:</t>
    </r>
    <r>
      <rPr>
        <rFont val="Arial"/>
        <color theme="1"/>
      </rPr>
      <t xml:space="preserve"> " Bolo de 20 a 30 ml x kg" 
                   </t>
    </r>
    <r>
      <rPr>
        <rFont val="Arial"/>
        <b/>
        <i/>
        <color theme="1"/>
      </rPr>
      <t xml:space="preserve"> and 
                    Si</t>
    </r>
    <r>
      <rPr>
        <rFont val="Arial"/>
        <color theme="1"/>
      </rPr>
      <t xml:space="preserve"> "Menor de 1 año" &lt;= "Si" 
                        </t>
    </r>
    <r>
      <rPr>
        <rFont val="Arial"/>
        <b/>
        <color theme="1"/>
      </rPr>
      <t xml:space="preserve"> Mensaje :</t>
    </r>
    <r>
      <rPr>
        <rFont val="Arial"/>
        <color theme="1"/>
      </rPr>
      <t xml:space="preserve"> "Disponer 30 ml x kg en 1 hora, despues de 1 hora aplicar 70 ml x kg en 5 horas".
      </t>
    </r>
    <r>
      <rPr>
        <rFont val="Arial"/>
        <b/>
        <i/>
        <color theme="1"/>
      </rPr>
      <t xml:space="preserve">              Sino </t>
    </r>
    <r>
      <rPr>
        <rFont val="Arial"/>
        <color theme="1"/>
      </rPr>
      <t xml:space="preserve">
                        "Menor de 1 año" &gt; "No"
                         </t>
    </r>
    <r>
      <rPr>
        <rFont val="Arial"/>
        <b/>
        <color theme="1"/>
      </rPr>
      <t xml:space="preserve">Mensaje: </t>
    </r>
    <r>
      <rPr>
        <rFont val="Arial"/>
        <color theme="1"/>
      </rPr>
      <t xml:space="preserve">"Disponer 30 ml x kg en 30 minutos, despues de 30 minutos aplicar 70 ml x kg en 2,5 Horas".
                    </t>
    </r>
    <r>
      <rPr>
        <rFont val="Arial"/>
        <b/>
        <i/>
        <color theme="1"/>
      </rPr>
      <t>Fin
               Sino 
                    Si</t>
    </r>
    <r>
      <rPr>
        <rFont val="Arial"/>
        <color theme="1"/>
      </rPr>
      <t xml:space="preserve"> "Menor de 1 año" &lt;= "Si" 
                         </t>
    </r>
    <r>
      <rPr>
        <rFont val="Arial"/>
        <b/>
        <color theme="1"/>
      </rPr>
      <t xml:space="preserve">Mensaje : </t>
    </r>
    <r>
      <rPr>
        <rFont val="Arial"/>
        <color theme="1"/>
      </rPr>
      <t xml:space="preserve">"Disponer 30 ml x kg en 1 hora, despues de 1 hora aplicar 70 ml x kg en 5 horas".
                    </t>
    </r>
    <r>
      <rPr>
        <rFont val="Arial"/>
        <b/>
        <i/>
        <color theme="1"/>
      </rPr>
      <t xml:space="preserve">Sino </t>
    </r>
    <r>
      <rPr>
        <rFont val="Arial"/>
        <color theme="1"/>
      </rPr>
      <t xml:space="preserve">
                        "Menor de 1 año" &gt; "No"
                         </t>
    </r>
    <r>
      <rPr>
        <rFont val="Arial"/>
        <b/>
        <color theme="1"/>
      </rPr>
      <t>Mensaje:</t>
    </r>
    <r>
      <rPr>
        <rFont val="Arial"/>
        <color theme="1"/>
      </rPr>
      <t xml:space="preserve"> "Disponer 30 ml x kg en 30 minutos, despues de 30 minutos aplicar 70 ml x kg en 2,5 Horas".
                  </t>
    </r>
    <r>
      <rPr>
        <rFont val="Arial"/>
        <b/>
        <i/>
        <color theme="1"/>
      </rPr>
      <t xml:space="preserve">  Fin
                 </t>
    </r>
    <r>
      <rPr>
        <rFont val="Arial"/>
        <b/>
        <color theme="1"/>
      </rPr>
      <t>Observación</t>
    </r>
    <r>
      <rPr>
        <rFont val="Arial"/>
        <b/>
        <i/>
        <color theme="1"/>
      </rPr>
      <t xml:space="preserve">: </t>
    </r>
    <r>
      <rPr>
        <rFont val="Arial"/>
        <color theme="1"/>
      </rPr>
      <t>"No olvidar administrar Zinc</t>
    </r>
    <r>
      <rPr>
        <rFont val="Arial"/>
        <b/>
        <color theme="1"/>
      </rPr>
      <t xml:space="preserve">, - </t>
    </r>
    <r>
      <rPr>
        <rFont val="Arial"/>
        <color theme="1"/>
      </rPr>
      <t xml:space="preserve">10 mlg al día en menores de 6 meses. </t>
    </r>
    <r>
      <rPr>
        <rFont val="Arial"/>
        <b/>
        <color theme="1"/>
      </rPr>
      <t xml:space="preserve">- </t>
    </r>
    <r>
      <rPr>
        <rFont val="Arial"/>
        <color theme="1"/>
      </rPr>
      <t>20 mlg al día mayores a 6 meses".</t>
    </r>
    <r>
      <rPr>
        <rFont val="Arial"/>
        <b/>
        <i/>
        <color theme="1"/>
      </rPr>
      <t xml:space="preserve">
                Fin
           Fin 
      Fin
 Fin</t>
    </r>
    <r>
      <rPr>
        <rFont val="Arial"/>
        <color theme="1"/>
      </rPr>
      <t xml:space="preserve">
</t>
    </r>
  </si>
  <si>
    <t>Galveston</t>
  </si>
  <si>
    <t>% Superficie Corporal Quemada</t>
  </si>
  <si>
    <t>Liquidos de mantenimiento</t>
  </si>
  <si>
    <t>Configuración para Cetoacidosis Diabetica</t>
  </si>
  <si>
    <t>Tipo Cetoacidosis</t>
  </si>
  <si>
    <t>Cetoacidosis Moderada</t>
  </si>
  <si>
    <t>Con Compromiso Hemodinámico</t>
  </si>
  <si>
    <r>
      <rPr>
        <rFont val="Arial"/>
        <b/>
        <i/>
        <color theme="1"/>
      </rPr>
      <t>Si</t>
    </r>
    <r>
      <rPr>
        <rFont val="Arial"/>
        <color theme="1"/>
      </rPr>
      <t xml:space="preserve"> "Peso"&gt;3 and "Peso"&lt;=10; Entonces
      </t>
    </r>
    <r>
      <rPr>
        <rFont val="Arial"/>
        <b/>
        <color theme="1"/>
      </rPr>
      <t>Resultado:</t>
    </r>
    <r>
      <rPr>
        <rFont val="Arial"/>
        <color theme="1"/>
      </rPr>
      <t xml:space="preserve"> 100 x "Peso"
    </t>
    </r>
    <r>
      <rPr>
        <rFont val="Arial"/>
        <b/>
        <color theme="1"/>
      </rPr>
      <t xml:space="preserve">  Observación: </t>
    </r>
    <r>
      <rPr>
        <rFont val="Arial"/>
        <color theme="1"/>
      </rPr>
      <t xml:space="preserve">"El resultado es para 24 Horas, el resultado se debe dividir entre 24 horas para conocer el resultado por cada hora".
</t>
    </r>
    <r>
      <rPr>
        <rFont val="Arial"/>
        <b/>
        <i/>
        <color theme="1"/>
      </rPr>
      <t>Sino 
       Si</t>
    </r>
    <r>
      <rPr>
        <rFont val="Arial"/>
        <color theme="1"/>
      </rPr>
      <t xml:space="preserve"> "Peso"&gt;10 and "Peso"&lt;=20),Entonces
   </t>
    </r>
    <r>
      <rPr>
        <rFont val="Arial"/>
        <b/>
        <i/>
        <color theme="1"/>
      </rPr>
      <t xml:space="preserve">    Resultado:
              Si</t>
    </r>
    <r>
      <rPr>
        <rFont val="Arial"/>
        <color theme="1"/>
      </rPr>
      <t xml:space="preserve"> "Peso"&lt;10, 
               </t>
    </r>
    <r>
      <rPr>
        <rFont val="Arial"/>
        <b/>
        <color theme="1"/>
      </rPr>
      <t>Resultado =</t>
    </r>
    <r>
      <rPr>
        <rFont val="Arial"/>
        <color theme="1"/>
      </rPr>
      <t xml:space="preserve"> 1000
               </t>
    </r>
    <r>
      <rPr>
        <rFont val="Arial"/>
        <b/>
        <color theme="1"/>
      </rPr>
      <t>Observación:</t>
    </r>
    <r>
      <rPr>
        <rFont val="Arial"/>
        <color theme="1"/>
      </rPr>
      <t xml:space="preserve"> "El resultado es para 24 Horas, el resultado se debe dividir entre 24 horas para conocer el resultado por cada hora".
            </t>
    </r>
    <r>
      <rPr>
        <rFont val="Arial"/>
        <b/>
        <i/>
        <color theme="1"/>
      </rPr>
      <t xml:space="preserve">  Sino, </t>
    </r>
    <r>
      <rPr>
        <rFont val="Arial"/>
        <color theme="1"/>
      </rPr>
      <t xml:space="preserve">
               </t>
    </r>
    <r>
      <rPr>
        <rFont val="Arial"/>
        <b/>
        <color theme="1"/>
      </rPr>
      <t xml:space="preserve">Resultado = </t>
    </r>
    <r>
      <rPr>
        <rFont val="Arial"/>
        <color theme="1"/>
      </rPr>
      <t xml:space="preserve">1000 + (("Peso"-10)*50)
              </t>
    </r>
    <r>
      <rPr>
        <rFont val="Arial"/>
        <b/>
        <color theme="1"/>
      </rPr>
      <t xml:space="preserve"> Observación:</t>
    </r>
    <r>
      <rPr>
        <rFont val="Arial"/>
        <color theme="1"/>
      </rPr>
      <t xml:space="preserve"> "El resultado es para 24 Horas, el resultado se debe dividir entre 24 horas para conocer el resultado por cada hora".
           </t>
    </r>
    <r>
      <rPr>
        <rFont val="Arial"/>
        <b/>
        <i/>
        <color theme="1"/>
      </rPr>
      <t xml:space="preserve">   Fin
        Sino
        Si</t>
    </r>
    <r>
      <rPr>
        <rFont val="Arial"/>
        <color theme="1"/>
      </rPr>
      <t xml:space="preserve"> "Peso"&gt;20 and "Peso"&lt;=30),Entonces
             </t>
    </r>
    <r>
      <rPr>
        <rFont val="Arial"/>
        <b/>
        <i/>
        <color theme="1"/>
      </rPr>
      <t xml:space="preserve">Resultado:
                   Si </t>
    </r>
    <r>
      <rPr>
        <rFont val="Arial"/>
        <color theme="1"/>
      </rPr>
      <t xml:space="preserve">"Peso"&lt;10, 
                        </t>
    </r>
    <r>
      <rPr>
        <rFont val="Arial"/>
        <b/>
        <color theme="1"/>
      </rPr>
      <t>Resultado =</t>
    </r>
    <r>
      <rPr>
        <rFont val="Arial"/>
        <color theme="1"/>
      </rPr>
      <t xml:space="preserve"> 1500
               </t>
    </r>
    <r>
      <rPr>
        <rFont val="Arial"/>
        <b/>
        <color theme="1"/>
      </rPr>
      <t xml:space="preserve">         Observación: </t>
    </r>
    <r>
      <rPr>
        <rFont val="Arial"/>
        <color theme="1"/>
      </rPr>
      <t xml:space="preserve">"El resultado es para 24 Horas, el resultado se debe dividir entre 24 horas para conocer el resultado por cada hora".
                        </t>
    </r>
    <r>
      <rPr>
        <rFont val="Arial"/>
        <b/>
        <i/>
        <color theme="1"/>
      </rPr>
      <t xml:space="preserve">Sino, </t>
    </r>
    <r>
      <rPr>
        <rFont val="Arial"/>
        <color theme="1"/>
      </rPr>
      <t xml:space="preserve">
                       </t>
    </r>
    <r>
      <rPr>
        <rFont val="Arial"/>
        <b/>
        <color theme="1"/>
      </rPr>
      <t xml:space="preserve">Resultado = </t>
    </r>
    <r>
      <rPr>
        <rFont val="Arial"/>
        <color theme="1"/>
      </rPr>
      <t xml:space="preserve">1500 + (("Peso"-20)*20)
                     </t>
    </r>
    <r>
      <rPr>
        <rFont val="Arial"/>
        <b/>
        <color theme="1"/>
      </rPr>
      <t xml:space="preserve"> Observación:</t>
    </r>
    <r>
      <rPr>
        <rFont val="Arial"/>
        <color theme="1"/>
      </rPr>
      <t xml:space="preserve"> "El resultado es para 24 Horas, el resultado se debe dividir entre 24 horas para conocer el resultado por cada hora".
</t>
    </r>
    <r>
      <rPr>
        <rFont val="Arial"/>
        <b/>
        <i/>
        <color theme="1"/>
      </rPr>
      <t xml:space="preserve">                    Fin
           Fin
</t>
    </r>
    <r>
      <rPr>
        <rFont val="Arial"/>
        <b/>
        <color theme="1"/>
      </rPr>
      <t>Mensaje:</t>
    </r>
    <r>
      <rPr>
        <rFont val="Arial"/>
        <color theme="1"/>
      </rPr>
      <t xml:space="preserve"> "Si el peso es mayor a 30 Kg se debe colocar liquido por superficie corporal".
</t>
    </r>
    <r>
      <rPr>
        <rFont val="Arial"/>
        <b/>
        <i/>
        <color theme="1"/>
      </rPr>
      <t>Fin</t>
    </r>
    <r>
      <rPr>
        <rFont val="Arial"/>
        <color theme="1"/>
      </rPr>
      <t xml:space="preserve">
</t>
    </r>
  </si>
  <si>
    <t>Si</t>
  </si>
  <si>
    <t>Grado Deshidratacion</t>
  </si>
  <si>
    <r>
      <rPr>
        <rFont val="Arial"/>
        <color theme="1"/>
      </rPr>
      <t xml:space="preserve">Calculos necesarios para la formulación de </t>
    </r>
    <r>
      <rPr>
        <rFont val="Arial"/>
        <b/>
        <color theme="1"/>
      </rPr>
      <t xml:space="preserve">"Quemados"
</t>
    </r>
    <r>
      <rPr>
        <rFont val="Arial"/>
        <b/>
        <i/>
        <color theme="1"/>
      </rPr>
      <t xml:space="preserve">Si </t>
    </r>
    <r>
      <rPr>
        <rFont val="Arial"/>
        <color theme="1"/>
      </rPr>
      <t xml:space="preserve">"Peso" &lt; 10
     </t>
    </r>
    <r>
      <rPr>
        <rFont val="Arial"/>
        <b/>
        <i/>
        <color theme="1"/>
      </rPr>
      <t>Superficie Corporal Total (M2)  =</t>
    </r>
    <r>
      <rPr>
        <rFont val="Arial"/>
        <color theme="1"/>
      </rPr>
      <t xml:space="preserve"> (("Peso" x 3) + 9)/100
</t>
    </r>
    <r>
      <rPr>
        <rFont val="Arial"/>
        <b/>
        <i/>
        <color theme="1"/>
      </rPr>
      <t xml:space="preserve">Sino </t>
    </r>
    <r>
      <rPr>
        <rFont val="Arial"/>
        <color theme="1"/>
      </rPr>
      <t xml:space="preserve">
     </t>
    </r>
    <r>
      <rPr>
        <rFont val="Arial"/>
        <b/>
        <i/>
        <color theme="1"/>
      </rPr>
      <t>Superficie Corporal Total (M2)  =</t>
    </r>
    <r>
      <rPr>
        <rFont val="Arial"/>
        <color theme="1"/>
      </rPr>
      <t xml:space="preserve"> (("Peso" x 3) + 7)/("Peso" + 90)
</t>
    </r>
    <r>
      <rPr>
        <rFont val="Arial"/>
        <b/>
        <i/>
        <color theme="1"/>
      </rPr>
      <t xml:space="preserve">Fin
</t>
    </r>
    <r>
      <rPr>
        <rFont val="Arial"/>
        <color theme="1"/>
      </rPr>
      <t xml:space="preserve">
</t>
    </r>
    <r>
      <rPr>
        <rFont val="Arial"/>
        <b/>
        <i/>
        <color theme="1"/>
      </rPr>
      <t xml:space="preserve">Superficie corporal Quemada (m2) = </t>
    </r>
    <r>
      <rPr>
        <rFont val="Arial"/>
        <color theme="1"/>
      </rPr>
      <t xml:space="preserve">"Superficie Corporal Total (M2)" x ("% Superficie Corporal Quemada" / 100)
</t>
    </r>
    <r>
      <rPr>
        <rFont val="Arial"/>
        <b/>
        <color theme="1"/>
      </rPr>
      <t xml:space="preserve">
</t>
    </r>
    <r>
      <rPr>
        <rFont val="Arial"/>
        <b/>
        <i/>
        <color theme="1"/>
      </rPr>
      <t>Si</t>
    </r>
    <r>
      <rPr>
        <rFont val="Arial"/>
        <b/>
        <color theme="1"/>
      </rPr>
      <t xml:space="preserve"> </t>
    </r>
    <r>
      <rPr>
        <rFont val="Arial"/>
        <color theme="1"/>
      </rPr>
      <t xml:space="preserve">"Opciones" = "Galveston"
     </t>
    </r>
    <r>
      <rPr>
        <rFont val="Arial"/>
        <b/>
        <i/>
        <color theme="1"/>
      </rPr>
      <t>Resultado =</t>
    </r>
    <r>
      <rPr>
        <rFont val="Arial"/>
        <color theme="1"/>
      </rPr>
      <t xml:space="preserve"> (5000 x "Superficie corporal Quemada (m2)") + (2000 x "Superficie Corporal Total (M2)")
</t>
    </r>
    <r>
      <rPr>
        <rFont val="Arial"/>
        <b/>
        <i/>
        <color theme="1"/>
      </rPr>
      <t xml:space="preserve">Sino 
</t>
    </r>
    <r>
      <rPr>
        <rFont val="Arial"/>
        <color theme="1"/>
      </rPr>
      <t xml:space="preserve">     </t>
    </r>
    <r>
      <rPr>
        <rFont val="Arial"/>
        <b/>
        <color theme="1"/>
      </rPr>
      <t>Si</t>
    </r>
    <r>
      <rPr>
        <rFont val="Arial"/>
        <color theme="1"/>
      </rPr>
      <t xml:space="preserve"> "Opciones" = "Parkland Modificado" and "Edad" &gt;= 14 años 
           </t>
    </r>
    <r>
      <rPr>
        <rFont val="Arial"/>
        <b/>
        <color theme="1"/>
      </rPr>
      <t>Resultado =</t>
    </r>
    <r>
      <rPr>
        <rFont val="Arial"/>
        <color theme="1"/>
      </rPr>
      <t xml:space="preserve"> (2 x "Peso" x "% Superficie Corporal Quemada")
           </t>
    </r>
    <r>
      <rPr>
        <rFont val="Arial"/>
        <b/>
        <color theme="1"/>
      </rPr>
      <t xml:space="preserve">Si </t>
    </r>
    <r>
      <rPr>
        <rFont val="Arial"/>
        <color theme="1"/>
      </rPr>
      <t xml:space="preserve"> "Opciones" = "Parkland Modificado" and "Edad" &lt; 14 años and "Peso" &lt; 30 Kg
                  </t>
    </r>
    <r>
      <rPr>
        <rFont val="Arial"/>
        <b/>
        <color theme="1"/>
      </rPr>
      <t xml:space="preserve">Resultado = </t>
    </r>
    <r>
      <rPr>
        <rFont val="Arial"/>
        <color theme="1"/>
      </rPr>
      <t xml:space="preserve">(3 x "Peso" x "% Superficie Corporal Quemada") + Liquido de Mantenimiento. 
           </t>
    </r>
    <r>
      <rPr>
        <rFont val="Arial"/>
        <b/>
        <color theme="1"/>
      </rPr>
      <t xml:space="preserve">Sino 
</t>
    </r>
    <r>
      <rPr>
        <rFont val="Arial"/>
        <color theme="1"/>
      </rPr>
      <t xml:space="preserve">                  </t>
    </r>
    <r>
      <rPr>
        <rFont val="Arial"/>
        <b/>
        <color theme="1"/>
      </rPr>
      <t xml:space="preserve">Resultado = </t>
    </r>
    <r>
      <rPr>
        <rFont val="Arial"/>
        <color theme="1"/>
      </rPr>
      <t xml:space="preserve">(3 x "Peso" x "% Superficie Corporal Quemada") 
           </t>
    </r>
    <r>
      <rPr>
        <rFont val="Arial"/>
        <b/>
        <color theme="1"/>
      </rPr>
      <t xml:space="preserve">Fin
</t>
    </r>
    <r>
      <rPr>
        <rFont val="Arial"/>
        <color theme="1"/>
      </rPr>
      <t xml:space="preserve">  </t>
    </r>
    <r>
      <rPr>
        <rFont val="Arial"/>
        <b/>
        <color theme="1"/>
      </rPr>
      <t xml:space="preserve">    Sino 
</t>
    </r>
    <r>
      <rPr>
        <rFont val="Arial"/>
        <color theme="1"/>
      </rPr>
      <t xml:space="preserve">      </t>
    </r>
    <r>
      <rPr>
        <rFont val="Arial"/>
        <b/>
        <color theme="1"/>
      </rPr>
      <t xml:space="preserve">Resultado = </t>
    </r>
    <r>
      <rPr>
        <rFont val="Arial"/>
        <color theme="1"/>
      </rPr>
      <t xml:space="preserve">FALSE 
      </t>
    </r>
    <r>
      <rPr>
        <rFont val="Arial"/>
        <b/>
        <i/>
        <color theme="1"/>
      </rPr>
      <t>Fin</t>
    </r>
    <r>
      <rPr>
        <rFont val="Arial"/>
        <color theme="1"/>
      </rPr>
      <t xml:space="preserve">
</t>
    </r>
    <r>
      <rPr>
        <rFont val="Arial"/>
        <b/>
        <i/>
        <color theme="1"/>
      </rPr>
      <t xml:space="preserve">Fin
ResultadoPorPeriodo = </t>
    </r>
    <r>
      <rPr>
        <rFont val="Arial"/>
        <i/>
        <color theme="1"/>
      </rPr>
      <t xml:space="preserve">"Resultado"/2
</t>
    </r>
    <r>
      <rPr>
        <rFont val="Arial"/>
        <b/>
        <i/>
        <color theme="1"/>
      </rPr>
      <t xml:space="preserve">Numero Horas </t>
    </r>
    <r>
      <rPr>
        <rFont val="Arial"/>
        <i/>
        <color theme="1"/>
      </rPr>
      <t xml:space="preserve">= Indica los rangos horarios para dividir en el periodo
</t>
    </r>
    <r>
      <rPr>
        <rFont val="Arial"/>
        <b/>
        <i/>
        <color theme="1"/>
      </rPr>
      <t>Resultado CC x hora</t>
    </r>
    <r>
      <rPr>
        <rFont val="Arial"/>
        <i/>
        <color theme="1"/>
      </rPr>
      <t xml:space="preserve"> = "Resultado"/"NumeroHoras"
</t>
    </r>
    <r>
      <rPr>
        <rFont val="Arial"/>
        <b/>
        <i/>
        <color theme="1"/>
      </rPr>
      <t xml:space="preserve">
</t>
    </r>
    <r>
      <rPr>
        <rFont val="Arial"/>
        <b/>
        <color theme="1"/>
      </rPr>
      <t xml:space="preserve">Mensaje = </t>
    </r>
    <r>
      <rPr>
        <rFont val="Arial"/>
        <color theme="1"/>
      </rPr>
      <t>"En los casos donde se utilice la formula "Parkland" no se tiene en cuenta en el resultado los requerimientos de liquidos de matenimiento, por lo que se debe hacer el calculo de mantenimiento por aparte para ser agregado en el resultado."</t>
    </r>
  </si>
  <si>
    <t>Ceoacidosis Diabeticos</t>
  </si>
  <si>
    <t>Requerimiento Basal (# Veces)</t>
  </si>
  <si>
    <r>
      <rPr>
        <rFont val="Arial"/>
        <b/>
        <color theme="1"/>
      </rPr>
      <t xml:space="preserve">Nota: </t>
    </r>
    <r>
      <rPr>
        <rFont val="Arial"/>
        <color theme="1"/>
      </rPr>
      <t>Es el numero de veces que desea poner el mantenimiento en Cetoacidosis.</t>
    </r>
  </si>
  <si>
    <r>
      <rPr>
        <rFont val="Arial"/>
        <b/>
        <i/>
        <color theme="1"/>
      </rPr>
      <t>Si</t>
    </r>
    <r>
      <rPr>
        <rFont val="Arial"/>
        <color theme="1"/>
      </rPr>
      <t xml:space="preserve"> "Peso"&gt;3 and "Peso"&lt;=10; Entonces
      </t>
    </r>
    <r>
      <rPr>
        <rFont val="Arial"/>
        <b/>
        <color theme="1"/>
      </rPr>
      <t>Resultado:</t>
    </r>
    <r>
      <rPr>
        <rFont val="Arial"/>
        <color theme="1"/>
      </rPr>
      <t xml:space="preserve"> ((100 x "Peso") x 2 ) + (70 x "Peso")
    </t>
    </r>
    <r>
      <rPr>
        <rFont val="Arial"/>
        <b/>
        <color theme="1"/>
      </rPr>
      <t xml:space="preserve">  Observación: </t>
    </r>
    <r>
      <rPr>
        <rFont val="Arial"/>
        <color theme="1"/>
      </rPr>
      <t xml:space="preserve">"El resultado es para 48 Horas, el resultado se debe dividir entre 48 horas para conocer el resultado por cada hora".
</t>
    </r>
    <r>
      <rPr>
        <rFont val="Arial"/>
        <b/>
        <i/>
        <color theme="1"/>
      </rPr>
      <t>Sino 
       Si</t>
    </r>
    <r>
      <rPr>
        <rFont val="Arial"/>
        <color theme="1"/>
      </rPr>
      <t xml:space="preserve"> "Peso"&gt;10 and "Peso"&lt;=20),Entonces
   </t>
    </r>
    <r>
      <rPr>
        <rFont val="Arial"/>
        <b/>
        <i/>
        <color theme="1"/>
      </rPr>
      <t xml:space="preserve">    Resultado:
              Si</t>
    </r>
    <r>
      <rPr>
        <rFont val="Arial"/>
        <color theme="1"/>
      </rPr>
      <t xml:space="preserve"> "Peso"&lt;10, 
               </t>
    </r>
    <r>
      <rPr>
        <rFont val="Arial"/>
        <b/>
        <color theme="1"/>
      </rPr>
      <t>Resultado =</t>
    </r>
    <r>
      <rPr>
        <rFont val="Arial"/>
        <color theme="1"/>
      </rPr>
      <t xml:space="preserve"> 1000
               </t>
    </r>
    <r>
      <rPr>
        <rFont val="Arial"/>
        <b/>
        <color theme="1"/>
      </rPr>
      <t>Observación:</t>
    </r>
    <r>
      <rPr>
        <rFont val="Arial"/>
        <color theme="1"/>
      </rPr>
      <t xml:space="preserve"> "El resultado es para 48 Horas, el resultado se debe dividir entre 48 horas para conocer el resultado por cada hora".
            </t>
    </r>
    <r>
      <rPr>
        <rFont val="Arial"/>
        <b/>
        <i/>
        <color theme="1"/>
      </rPr>
      <t xml:space="preserve">  Sino, </t>
    </r>
    <r>
      <rPr>
        <rFont val="Arial"/>
        <color theme="1"/>
      </rPr>
      <t xml:space="preserve">
               </t>
    </r>
    <r>
      <rPr>
        <rFont val="Arial"/>
        <b/>
        <color theme="1"/>
      </rPr>
      <t xml:space="preserve">Resultado = </t>
    </r>
    <r>
      <rPr>
        <rFont val="Arial"/>
        <color theme="1"/>
      </rPr>
      <t xml:space="preserve">(1000 + (("Peso"-10)*50)) x 2 ) + (70 x "Peso")
              </t>
    </r>
    <r>
      <rPr>
        <rFont val="Arial"/>
        <b/>
        <color theme="1"/>
      </rPr>
      <t xml:space="preserve"> Observación:</t>
    </r>
    <r>
      <rPr>
        <rFont val="Arial"/>
        <color theme="1"/>
      </rPr>
      <t xml:space="preserve"> "El resultado es para 48 Horas, el resultado se debe dividir entre 48 horas para conocer el resultado por cada hora".
           </t>
    </r>
    <r>
      <rPr>
        <rFont val="Arial"/>
        <b/>
        <i/>
        <color theme="1"/>
      </rPr>
      <t xml:space="preserve">   Fin
        Sino
        Si</t>
    </r>
    <r>
      <rPr>
        <rFont val="Arial"/>
        <color theme="1"/>
      </rPr>
      <t xml:space="preserve"> "Peso"&gt;20 and "Peso"&lt;=30),Entonces
             </t>
    </r>
    <r>
      <rPr>
        <rFont val="Arial"/>
        <b/>
        <i/>
        <color theme="1"/>
      </rPr>
      <t xml:space="preserve">Resultado:
                   Si </t>
    </r>
    <r>
      <rPr>
        <rFont val="Arial"/>
        <color theme="1"/>
      </rPr>
      <t xml:space="preserve">"Peso"&lt;10, 
                        </t>
    </r>
    <r>
      <rPr>
        <rFont val="Arial"/>
        <b/>
        <color theme="1"/>
      </rPr>
      <t>Resultado =</t>
    </r>
    <r>
      <rPr>
        <rFont val="Arial"/>
        <color theme="1"/>
      </rPr>
      <t xml:space="preserve"> 1500
               </t>
    </r>
    <r>
      <rPr>
        <rFont val="Arial"/>
        <b/>
        <color theme="1"/>
      </rPr>
      <t xml:space="preserve">         Observación: </t>
    </r>
    <r>
      <rPr>
        <rFont val="Arial"/>
        <color theme="1"/>
      </rPr>
      <t xml:space="preserve">"El resultado es para 48 Horas, el resultado se debe dividir entre 48 horas para conocer el resultado por cada hora".
                        </t>
    </r>
    <r>
      <rPr>
        <rFont val="Arial"/>
        <b/>
        <i/>
        <color theme="1"/>
      </rPr>
      <t xml:space="preserve">Sino, </t>
    </r>
    <r>
      <rPr>
        <rFont val="Arial"/>
        <color theme="1"/>
      </rPr>
      <t xml:space="preserve">
                       </t>
    </r>
    <r>
      <rPr>
        <rFont val="Arial"/>
        <b/>
        <color theme="1"/>
      </rPr>
      <t xml:space="preserve">Resultado = </t>
    </r>
    <r>
      <rPr>
        <rFont val="Arial"/>
        <color theme="1"/>
      </rPr>
      <t xml:space="preserve">(1500 + (("Peso"-20)*20) x 2 ) + (70 x "Peso")
                     </t>
    </r>
    <r>
      <rPr>
        <rFont val="Arial"/>
        <b/>
        <color theme="1"/>
      </rPr>
      <t xml:space="preserve"> Observación:</t>
    </r>
    <r>
      <rPr>
        <rFont val="Arial"/>
        <color theme="1"/>
      </rPr>
      <t xml:space="preserve"> "El resultado es para 48 Horas, el resultado se debe dividir entre 48 horas para conocer el resultado por cada hora".
</t>
    </r>
    <r>
      <rPr>
        <rFont val="Arial"/>
        <b/>
        <i/>
        <color theme="1"/>
      </rPr>
      <t xml:space="preserve">                    Fin
           Fin
</t>
    </r>
    <r>
      <rPr>
        <rFont val="Arial"/>
        <b/>
        <color theme="1"/>
      </rPr>
      <t>Mensaje:</t>
    </r>
    <r>
      <rPr>
        <rFont val="Arial"/>
        <color theme="1"/>
      </rPr>
      <t xml:space="preserve"> "Si el peso es mayor a 30 Kg se debe colocar liquido por superficie corporal".
</t>
    </r>
    <r>
      <rPr>
        <rFont val="Arial"/>
        <b/>
        <i/>
        <color theme="1"/>
      </rPr>
      <t>Fin</t>
    </r>
    <r>
      <rPr>
        <rFont val="Arial"/>
        <color theme="1"/>
      </rPr>
      <t xml:space="preserve">
</t>
    </r>
  </si>
  <si>
    <t>Edad (Años)</t>
  </si>
  <si>
    <t>Menor de 1 Año</t>
  </si>
  <si>
    <t>No</t>
  </si>
  <si>
    <t>Peso (Kg)</t>
  </si>
  <si>
    <t>Variable "Plan B" (cc/kg/h) x 4 Horas</t>
  </si>
  <si>
    <t>Variable "Parkland" (cc) Quemaduras Termicas</t>
  </si>
  <si>
    <t>Resultado</t>
  </si>
  <si>
    <t>Enfermedad Diarreica Aguda - Plan A</t>
  </si>
  <si>
    <t>Rango Inferior (CC)</t>
  </si>
  <si>
    <t>Rango Superior (CC)</t>
  </si>
  <si>
    <t>Observación</t>
  </si>
  <si>
    <t>Enfermedad Diarreica Aguda - Plan B</t>
  </si>
  <si>
    <t>Resultado x hora (CC)</t>
  </si>
  <si>
    <t>Número de horas</t>
  </si>
  <si>
    <t>Resultado en todo el periodo (CC)</t>
  </si>
  <si>
    <t>Enfermedad Diarreica Aguda - Plan C - Shock Hipervolemico</t>
  </si>
  <si>
    <t>Edad</t>
  </si>
  <si>
    <t xml:space="preserve">Duración </t>
  </si>
  <si>
    <t>Bolo (Inferior)</t>
  </si>
  <si>
    <t>Bolo (Superior)</t>
  </si>
  <si>
    <t>Cantidad Liquido (CC)</t>
  </si>
  <si>
    <t>Menor o igual a 1 año</t>
  </si>
  <si>
    <t>Mayor que 1 año</t>
  </si>
  <si>
    <t>Enfermedad Diarreica Aguda - Plan C - Deshidratación Grave</t>
  </si>
  <si>
    <t>OBSERVACIÓN GENERAL</t>
  </si>
  <si>
    <r>
      <rPr>
        <rFont val="Arial"/>
        <color theme="1"/>
      </rPr>
      <t xml:space="preserve">No olvidar administrar Sulfato de Zinc por 14 dias
* 10 mg al día en menos de 6 meses.
* 20 mg al día mayores a 6 meses.
</t>
    </r>
    <r>
      <rPr>
        <rFont val="Arial"/>
        <b/>
        <color theme="1"/>
      </rPr>
      <t xml:space="preserve">Nota: </t>
    </r>
    <r>
      <rPr>
        <rFont val="Arial"/>
        <color theme="1"/>
      </rPr>
      <t>Ver imagen del grado de deshidratación para saber identificar cual Plan utilizar.</t>
    </r>
  </si>
  <si>
    <t>Peso</t>
  </si>
  <si>
    <t>Liquidos x 24 Horas</t>
  </si>
  <si>
    <t>Resultado x hora</t>
  </si>
  <si>
    <t>Menor o igual a 10 Kg</t>
  </si>
  <si>
    <t>10- 20 Kg</t>
  </si>
  <si>
    <t>20- 30 Kg</t>
  </si>
  <si>
    <t>Resultado para Mayor 30 Kg</t>
  </si>
  <si>
    <t>Liquidos 24 Horas (CC)</t>
  </si>
  <si>
    <t>Liquidos en horas (CC)</t>
  </si>
  <si>
    <t>Rango Inferior</t>
  </si>
  <si>
    <t>Rango Superior</t>
  </si>
  <si>
    <t>Superficie Corporal Total (m2)</t>
  </si>
  <si>
    <t>Superficie corporal Quemada (m2)</t>
  </si>
  <si>
    <t>Liquidos Suministrado (CC)</t>
  </si>
  <si>
    <t>Rango Horario</t>
  </si>
  <si>
    <t>Resultado cc x hora</t>
  </si>
  <si>
    <t>Resultado en todo el periodo</t>
  </si>
  <si>
    <t>8 Horas</t>
  </si>
  <si>
    <t>16 Horas</t>
  </si>
  <si>
    <r>
      <rPr>
        <rFont val="Arial"/>
        <color theme="1"/>
      </rPr>
      <t xml:space="preserve">En los casos donde se utilice la formula "Parkland" no se tiene en cuenta en el resultado los requerimientos de liquidos de matenimiento, por lo que se debe hacer el calculo de mantenimiento por aparte para ser agregado en el resultado. 
</t>
    </r>
    <r>
      <rPr>
        <rFont val="Arial"/>
        <b/>
        <color theme="1"/>
      </rPr>
      <t xml:space="preserve">Nota Importante: </t>
    </r>
    <r>
      <rPr>
        <rFont val="Arial"/>
        <color theme="1"/>
      </rPr>
      <t>Recordar que las primeras 8 horas es desde que el paciente se quemo</t>
    </r>
  </si>
  <si>
    <t>Cetoacidosis Diabetica</t>
  </si>
  <si>
    <t>Bolo (10 ml/Kg)</t>
  </si>
  <si>
    <t>Bolo (20 ml/Kg)</t>
  </si>
  <si>
    <t>Liquidos x 48 Horas (CC)</t>
  </si>
  <si>
    <t>3 - 10 Kg</t>
  </si>
  <si>
    <t>El resultado se da por 48 horas/cc. 
Si se tiene un peso mayor a 30 Se recomienda poner liquido por superficie corporal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</si>
</sst>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b/>
      <color theme="1"/>
      <name val="Arial"/>
      <scheme val="minor"/>
    </font>
    <font>
      <color theme="1"/>
      <name val="Arial"/>
      <scheme val="minor"/>
    </font>
    <font/>
    <font>
      <color rgb="FF000000"/>
      <name val="Arial"/>
      <scheme val="minor"/>
    </font>
    <font>
      <b/>
      <color rgb="FF000000"/>
      <name val="Arial"/>
      <scheme val="minor"/>
    </font>
  </fonts>
  <fills count="22">
    <fill>
      <patternFill patternType="none"/>
    </fill>
    <fill>
      <patternFill patternType="lightGray"/>
    </fill>
    <fill>
      <patternFill patternType="solid">
        <fgColor rgb="FFB4A7D6"/>
        <bgColor rgb="FFB4A7D6"/>
      </patternFill>
    </fill>
    <fill>
      <patternFill patternType="solid">
        <fgColor rgb="FFF9CB9C"/>
        <bgColor rgb="FFF9CB9C"/>
      </patternFill>
    </fill>
    <fill>
      <patternFill patternType="solid">
        <fgColor rgb="FFFCE5CD"/>
        <bgColor rgb="FFFCE5CD"/>
      </patternFill>
    </fill>
    <fill>
      <patternFill patternType="solid">
        <fgColor rgb="FFD9D2E9"/>
        <bgColor rgb="FFD9D2E9"/>
      </patternFill>
    </fill>
    <fill>
      <patternFill patternType="solid">
        <fgColor rgb="FFE06666"/>
        <bgColor rgb="FFE06666"/>
      </patternFill>
    </fill>
    <fill>
      <patternFill patternType="solid">
        <fgColor rgb="FF93C47D"/>
        <bgColor rgb="FF93C47D"/>
      </patternFill>
    </fill>
    <fill>
      <patternFill patternType="solid">
        <fgColor rgb="FFD9EAD3"/>
        <bgColor rgb="FFD9EAD3"/>
      </patternFill>
    </fill>
    <fill>
      <patternFill patternType="solid">
        <fgColor rgb="FF45818E"/>
        <bgColor rgb="FF45818E"/>
      </patternFill>
    </fill>
    <fill>
      <patternFill patternType="solid">
        <fgColor rgb="FFA2C4C9"/>
        <bgColor rgb="FFA2C4C9"/>
      </patternFill>
    </fill>
    <fill>
      <patternFill patternType="solid">
        <fgColor rgb="FFFFD966"/>
        <bgColor rgb="FFFFD966"/>
      </patternFill>
    </fill>
    <fill>
      <patternFill patternType="solid">
        <fgColor rgb="FFFFE599"/>
        <bgColor rgb="FFFFE599"/>
      </patternFill>
    </fill>
    <fill>
      <patternFill patternType="solid">
        <fgColor rgb="FFC27BA0"/>
        <bgColor rgb="FFC27BA0"/>
      </patternFill>
    </fill>
    <fill>
      <patternFill patternType="solid">
        <fgColor rgb="FFEAD1DC"/>
        <bgColor rgb="FFEAD1DC"/>
      </patternFill>
    </fill>
    <fill>
      <patternFill patternType="solid">
        <fgColor rgb="FF6AA84F"/>
        <bgColor rgb="FF6AA84F"/>
      </patternFill>
    </fill>
    <fill>
      <patternFill patternType="solid">
        <fgColor rgb="FFB6D7A8"/>
        <bgColor rgb="FFB6D7A8"/>
      </patternFill>
    </fill>
    <fill>
      <patternFill patternType="solid">
        <fgColor rgb="FF76A5AF"/>
        <bgColor rgb="FF76A5AF"/>
      </patternFill>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
      <patternFill patternType="solid">
        <fgColor rgb="FFD5A6BD"/>
        <bgColor rgb="FFD5A6BD"/>
      </patternFill>
    </fill>
  </fills>
  <borders count="39">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medium">
        <color rgb="FF000000"/>
      </right>
      <bottom style="medium">
        <color rgb="FF000000"/>
      </bottom>
    </border>
    <border>
      <left style="thin">
        <color rgb="FF000000"/>
      </left>
      <bottom style="thin">
        <color rgb="FF000000"/>
      </bottom>
    </border>
    <border>
      <left style="medium">
        <color rgb="FF000000"/>
      </left>
    </border>
    <border>
      <left style="thin">
        <color rgb="FF000000"/>
      </lef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1" fillId="3" fontId="1" numFmtId="0" xfId="0" applyAlignment="1" applyBorder="1" applyFill="1" applyFont="1">
      <alignment readingOrder="0"/>
    </xf>
    <xf borderId="0" fillId="0" fontId="2" numFmtId="0" xfId="0" applyFont="1"/>
    <xf borderId="2" fillId="0" fontId="3" numFmtId="0" xfId="0" applyBorder="1" applyFont="1"/>
    <xf borderId="3" fillId="3" fontId="1" numFmtId="0" xfId="0" applyAlignment="1" applyBorder="1" applyFont="1">
      <alignment horizontal="center" readingOrder="0"/>
    </xf>
    <xf borderId="4" fillId="0" fontId="3" numFmtId="0" xfId="0" applyBorder="1" applyFont="1"/>
    <xf borderId="5" fillId="0" fontId="3" numFmtId="0" xfId="0" applyBorder="1" applyFont="1"/>
    <xf borderId="6" fillId="0" fontId="3" numFmtId="0" xfId="0" applyBorder="1" applyFont="1"/>
    <xf borderId="7" fillId="4" fontId="1" numFmtId="0" xfId="0" applyAlignment="1" applyBorder="1" applyFill="1" applyFont="1">
      <alignment readingOrder="0"/>
    </xf>
    <xf borderId="1" fillId="4" fontId="2" numFmtId="0" xfId="0" applyAlignment="1" applyBorder="1" applyFont="1">
      <alignment readingOrder="0"/>
    </xf>
    <xf borderId="8" fillId="0" fontId="2" numFmtId="0" xfId="0" applyAlignment="1" applyBorder="1" applyFont="1">
      <alignment readingOrder="0"/>
    </xf>
    <xf borderId="9" fillId="0" fontId="2" numFmtId="0" xfId="0" applyBorder="1" applyFont="1"/>
    <xf borderId="0" fillId="5" fontId="2" numFmtId="0" xfId="0" applyFill="1" applyFont="1"/>
    <xf borderId="3" fillId="4" fontId="1" numFmtId="0" xfId="0" applyAlignment="1" applyBorder="1" applyFont="1">
      <alignment readingOrder="0"/>
    </xf>
    <xf borderId="10" fillId="4" fontId="1" numFmtId="0" xfId="0" applyAlignment="1" applyBorder="1" applyFont="1">
      <alignment readingOrder="0"/>
    </xf>
    <xf borderId="1" fillId="6" fontId="1" numFmtId="0" xfId="0" applyAlignment="1" applyBorder="1" applyFill="1" applyFont="1">
      <alignment readingOrder="0"/>
    </xf>
    <xf borderId="11" fillId="0" fontId="2" numFmtId="0" xfId="0" applyAlignment="1" applyBorder="1" applyFont="1">
      <alignment readingOrder="0"/>
    </xf>
    <xf borderId="12" fillId="0" fontId="2" numFmtId="0" xfId="0" applyAlignment="1" applyBorder="1" applyFont="1">
      <alignment readingOrder="0" shrinkToFit="0" wrapText="1"/>
    </xf>
    <xf borderId="1" fillId="7" fontId="1" numFmtId="0" xfId="0" applyAlignment="1" applyBorder="1" applyFill="1" applyFont="1">
      <alignment readingOrder="0"/>
    </xf>
    <xf borderId="13" fillId="4" fontId="1" numFmtId="0" xfId="0" applyAlignment="1" applyBorder="1" applyFont="1">
      <alignment readingOrder="0"/>
    </xf>
    <xf borderId="14" fillId="0" fontId="2" numFmtId="0" xfId="0" applyAlignment="1" applyBorder="1" applyFont="1">
      <alignment readingOrder="0"/>
    </xf>
    <xf borderId="15" fillId="0" fontId="2" numFmtId="0" xfId="0" applyAlignment="1" applyBorder="1" applyFont="1">
      <alignment readingOrder="0" shrinkToFit="0" wrapText="1"/>
    </xf>
    <xf borderId="1" fillId="8" fontId="2" numFmtId="0" xfId="0" applyAlignment="1" applyBorder="1" applyFill="1" applyFont="1">
      <alignment readingOrder="0"/>
    </xf>
    <xf borderId="1" fillId="9" fontId="1" numFmtId="0" xfId="0" applyAlignment="1" applyBorder="1" applyFill="1" applyFont="1">
      <alignment readingOrder="0"/>
    </xf>
    <xf borderId="12" fillId="0" fontId="2" numFmtId="0" xfId="0" applyBorder="1" applyFont="1"/>
    <xf borderId="1" fillId="10" fontId="2" numFmtId="0" xfId="0" applyAlignment="1" applyBorder="1" applyFill="1" applyFont="1">
      <alignment readingOrder="0"/>
    </xf>
    <xf borderId="1" fillId="11" fontId="1" numFmtId="0" xfId="0" applyAlignment="1" applyBorder="1" applyFill="1" applyFont="1">
      <alignment readingOrder="0"/>
    </xf>
    <xf borderId="1" fillId="12" fontId="2" numFmtId="0" xfId="0" applyAlignment="1" applyBorder="1" applyFill="1" applyFont="1">
      <alignment readingOrder="0" shrinkToFit="0" wrapText="1"/>
    </xf>
    <xf borderId="11" fillId="0" fontId="2" numFmtId="0" xfId="0" applyBorder="1" applyFont="1"/>
    <xf borderId="13" fillId="4" fontId="1" numFmtId="0" xfId="0" applyAlignment="1" applyBorder="1" applyFont="1">
      <alignment readingOrder="0" shrinkToFit="0" wrapText="1"/>
    </xf>
    <xf borderId="1" fillId="13" fontId="1" numFmtId="0" xfId="0" applyAlignment="1" applyBorder="1" applyFill="1" applyFont="1">
      <alignment readingOrder="0"/>
    </xf>
    <xf borderId="15" fillId="0" fontId="2" numFmtId="0" xfId="0" applyAlignment="1" applyBorder="1" applyFont="1">
      <alignment horizontal="left" readingOrder="0" shrinkToFit="0" vertical="center" wrapText="1"/>
    </xf>
    <xf borderId="1" fillId="14" fontId="2" numFmtId="0" xfId="0" applyAlignment="1" applyBorder="1" applyFill="1" applyFont="1">
      <alignment readingOrder="0"/>
    </xf>
    <xf borderId="12" fillId="0" fontId="2" numFmtId="0" xfId="0" applyAlignment="1" applyBorder="1" applyFont="1">
      <alignment horizontal="right" readingOrder="0"/>
    </xf>
    <xf borderId="9" fillId="0" fontId="4" numFmtId="0" xfId="0" applyAlignment="1" applyBorder="1" applyFont="1">
      <alignment horizontal="right" readingOrder="0"/>
    </xf>
    <xf borderId="9" fillId="0" fontId="2" numFmtId="0" xfId="0" applyAlignment="1" applyBorder="1" applyFont="1">
      <alignment readingOrder="0"/>
    </xf>
    <xf borderId="10" fillId="4" fontId="1" numFmtId="0" xfId="0" applyAlignment="1" applyBorder="1" applyFont="1">
      <alignment readingOrder="0" shrinkToFit="0" wrapText="1"/>
    </xf>
    <xf borderId="12" fillId="0" fontId="2" numFmtId="0" xfId="0" applyAlignment="1" applyBorder="1" applyFont="1">
      <alignment readingOrder="0"/>
    </xf>
    <xf borderId="16" fillId="15" fontId="1" numFmtId="0" xfId="0" applyAlignment="1" applyBorder="1" applyFill="1" applyFont="1">
      <alignment horizontal="left" readingOrder="0"/>
    </xf>
    <xf borderId="17" fillId="0" fontId="3" numFmtId="0" xfId="0" applyBorder="1" applyFont="1"/>
    <xf borderId="18" fillId="0" fontId="3" numFmtId="0" xfId="0" applyBorder="1" applyFont="1"/>
    <xf borderId="16" fillId="7" fontId="1" numFmtId="0" xfId="0" applyAlignment="1" applyBorder="1" applyFont="1">
      <alignment horizontal="left" readingOrder="0" vertical="center"/>
    </xf>
    <xf borderId="3" fillId="16" fontId="1" numFmtId="0" xfId="0" applyAlignment="1" applyBorder="1" applyFill="1" applyFont="1">
      <alignment horizontal="left" readingOrder="0"/>
    </xf>
    <xf borderId="19" fillId="0" fontId="3" numFmtId="0" xfId="0" applyBorder="1" applyFont="1"/>
    <xf borderId="10" fillId="8" fontId="1" numFmtId="0" xfId="0" applyAlignment="1" applyBorder="1" applyFont="1">
      <alignment horizontal="center" readingOrder="0"/>
    </xf>
    <xf borderId="11" fillId="8" fontId="1" numFmtId="0" xfId="0" applyAlignment="1" applyBorder="1" applyFont="1">
      <alignment horizontal="center" readingOrder="0"/>
    </xf>
    <xf borderId="12" fillId="8" fontId="1" numFmtId="0" xfId="0" applyAlignment="1" applyBorder="1" applyFont="1">
      <alignment horizontal="center" readingOrder="0"/>
    </xf>
    <xf borderId="13" fillId="0" fontId="2" numFmtId="0" xfId="0" applyBorder="1" applyFont="1"/>
    <xf borderId="14" fillId="0" fontId="2" numFmtId="0" xfId="0" applyBorder="1" applyFont="1"/>
    <xf borderId="15" fillId="0" fontId="2" numFmtId="0" xfId="0" applyAlignment="1" applyBorder="1" applyFont="1">
      <alignment shrinkToFit="0" wrapText="1"/>
    </xf>
    <xf borderId="3" fillId="16" fontId="1" numFmtId="0" xfId="0" applyAlignment="1" applyBorder="1" applyFont="1">
      <alignment horizontal="left" readingOrder="0" shrinkToFit="0" vertical="center" wrapText="1"/>
    </xf>
    <xf borderId="10" fillId="8" fontId="1" numFmtId="0" xfId="0" applyAlignment="1" applyBorder="1" applyFont="1">
      <alignment readingOrder="0"/>
    </xf>
    <xf borderId="11" fillId="8" fontId="1" numFmtId="0" xfId="0" applyAlignment="1" applyBorder="1" applyFont="1">
      <alignment readingOrder="0"/>
    </xf>
    <xf borderId="16" fillId="16" fontId="1" numFmtId="0" xfId="0" applyAlignment="1" applyBorder="1" applyFont="1">
      <alignment horizontal="left" readingOrder="0"/>
    </xf>
    <xf borderId="20" fillId="8" fontId="1" numFmtId="0" xfId="0" applyAlignment="1" applyBorder="1" applyFont="1">
      <alignment readingOrder="0"/>
    </xf>
    <xf borderId="21" fillId="8" fontId="1" numFmtId="0" xfId="0" applyAlignment="1" applyBorder="1" applyFont="1">
      <alignment readingOrder="0"/>
    </xf>
    <xf borderId="21" fillId="8" fontId="1" numFmtId="0" xfId="0" applyAlignment="1" applyBorder="1" applyFont="1">
      <alignment horizontal="center" readingOrder="0"/>
    </xf>
    <xf borderId="22" fillId="8" fontId="1" numFmtId="0" xfId="0" applyAlignment="1" applyBorder="1" applyFont="1">
      <alignment horizontal="center" readingOrder="0"/>
    </xf>
    <xf borderId="7" fillId="8" fontId="1" numFmtId="0" xfId="0" applyAlignment="1" applyBorder="1" applyFont="1">
      <alignment horizontal="center" readingOrder="0" shrinkToFit="0" vertical="center" wrapText="1"/>
    </xf>
    <xf borderId="23" fillId="0" fontId="3" numFmtId="0" xfId="0" applyBorder="1" applyFont="1"/>
    <xf borderId="20" fillId="0" fontId="3" numFmtId="0" xfId="0" applyBorder="1" applyFont="1"/>
    <xf borderId="24" fillId="0" fontId="3" numFmtId="0" xfId="0" applyBorder="1" applyFont="1"/>
    <xf borderId="15" fillId="0" fontId="2" numFmtId="0" xfId="0" applyBorder="1" applyFont="1"/>
    <xf borderId="16" fillId="16" fontId="1" numFmtId="0" xfId="0" applyAlignment="1" applyBorder="1" applyFont="1">
      <alignment horizontal="left" readingOrder="0" shrinkToFit="0" vertical="center" wrapText="1"/>
    </xf>
    <xf borderId="25" fillId="0" fontId="2" numFmtId="0" xfId="0" applyAlignment="1" applyBorder="1" applyFont="1">
      <alignment horizontal="center" readingOrder="0" shrinkToFit="0" vertical="center" wrapText="1"/>
    </xf>
    <xf borderId="26" fillId="0" fontId="3" numFmtId="0" xfId="0" applyBorder="1" applyFont="1"/>
    <xf borderId="27" fillId="0" fontId="3" numFmtId="0" xfId="0" applyBorder="1" applyFont="1"/>
    <xf borderId="16" fillId="17" fontId="1" numFmtId="0" xfId="0" applyAlignment="1" applyBorder="1" applyFill="1" applyFont="1">
      <alignment horizontal="left" readingOrder="0"/>
    </xf>
    <xf borderId="19" fillId="0" fontId="2" numFmtId="0" xfId="0" applyBorder="1" applyFont="1"/>
    <xf borderId="20" fillId="18" fontId="1" numFmtId="0" xfId="0" applyAlignment="1" applyBorder="1" applyFill="1" applyFont="1">
      <alignment horizontal="center" readingOrder="0"/>
    </xf>
    <xf borderId="21" fillId="18" fontId="1" numFmtId="0" xfId="0" applyAlignment="1" applyBorder="1" applyFont="1">
      <alignment horizontal="center" readingOrder="0"/>
    </xf>
    <xf borderId="22" fillId="18" fontId="1" numFmtId="0" xfId="0" applyAlignment="1" applyBorder="1" applyFont="1">
      <alignment horizontal="center" readingOrder="0"/>
    </xf>
    <xf borderId="10" fillId="0" fontId="2" numFmtId="0" xfId="0" applyAlignment="1" applyBorder="1" applyFont="1">
      <alignment horizontal="center" readingOrder="0"/>
    </xf>
    <xf borderId="11" fillId="0" fontId="2" numFmtId="0" xfId="0" applyAlignment="1" applyBorder="1" applyFont="1">
      <alignment horizontal="center"/>
    </xf>
    <xf borderId="11" fillId="0" fontId="2" numFmtId="164" xfId="0" applyAlignment="1" applyBorder="1" applyFont="1" applyNumberFormat="1">
      <alignment horizontal="center"/>
    </xf>
    <xf borderId="12" fillId="0" fontId="2" numFmtId="0" xfId="0" applyAlignment="1" applyBorder="1" applyFont="1">
      <alignment horizontal="center"/>
    </xf>
    <xf borderId="8" fillId="0" fontId="2" numFmtId="0" xfId="0" applyAlignment="1" applyBorder="1" applyFont="1">
      <alignment horizontal="center"/>
    </xf>
    <xf borderId="9" fillId="0" fontId="2" numFmtId="0" xfId="0" applyAlignment="1" applyBorder="1" applyFont="1">
      <alignment horizontal="center"/>
    </xf>
    <xf borderId="28" fillId="17" fontId="1" numFmtId="0" xfId="0" applyAlignment="1" applyBorder="1" applyFont="1">
      <alignment horizontal="left" readingOrder="0"/>
    </xf>
    <xf borderId="29" fillId="0" fontId="3" numFmtId="0" xfId="0" applyBorder="1" applyFont="1"/>
    <xf borderId="30" fillId="0" fontId="3" numFmtId="0" xfId="0" applyBorder="1" applyFont="1"/>
    <xf borderId="3" fillId="18" fontId="1" numFmtId="0" xfId="0" applyAlignment="1" applyBorder="1" applyFont="1">
      <alignment horizontal="center" readingOrder="0"/>
    </xf>
    <xf borderId="10" fillId="18" fontId="1" numFmtId="0" xfId="0" applyAlignment="1" applyBorder="1" applyFont="1">
      <alignment horizontal="center" readingOrder="0"/>
    </xf>
    <xf borderId="12" fillId="18" fontId="1" numFmtId="0" xfId="0" applyAlignment="1" applyBorder="1" applyFont="1">
      <alignment horizontal="center" readingOrder="0"/>
    </xf>
    <xf borderId="24" fillId="0" fontId="2" numFmtId="2" xfId="0" applyAlignment="1" applyBorder="1" applyFont="1" applyNumberFormat="1">
      <alignment horizontal="center" readingOrder="0"/>
    </xf>
    <xf borderId="31" fillId="0" fontId="2" numFmtId="2" xfId="0" applyAlignment="1" applyBorder="1" applyFont="1" applyNumberFormat="1">
      <alignment horizontal="center"/>
    </xf>
    <xf borderId="24" fillId="0" fontId="2" numFmtId="164" xfId="0" applyAlignment="1" applyBorder="1" applyFont="1" applyNumberFormat="1">
      <alignment horizontal="center"/>
    </xf>
    <xf borderId="31" fillId="0" fontId="2" numFmtId="0" xfId="0" applyAlignment="1" applyBorder="1" applyFont="1">
      <alignment horizontal="center"/>
    </xf>
    <xf borderId="16" fillId="10" fontId="1" numFmtId="0" xfId="0" applyAlignment="1" applyBorder="1" applyFont="1">
      <alignment horizontal="left" readingOrder="0"/>
    </xf>
    <xf borderId="25" fillId="0" fontId="2" numFmtId="0" xfId="0" applyAlignment="1" applyBorder="1" applyFont="1">
      <alignment readingOrder="0"/>
    </xf>
    <xf borderId="26" fillId="0" fontId="2" numFmtId="0" xfId="0" applyBorder="1" applyFont="1"/>
    <xf borderId="27" fillId="0" fontId="2" numFmtId="0" xfId="0" applyBorder="1" applyFont="1"/>
    <xf borderId="16" fillId="11" fontId="5" numFmtId="0" xfId="0" applyAlignment="1" applyBorder="1" applyFont="1">
      <alignment horizontal="left" readingOrder="0"/>
    </xf>
    <xf borderId="16" fillId="12" fontId="1" numFmtId="0" xfId="0" applyAlignment="1" applyBorder="1" applyFont="1">
      <alignment horizontal="left" readingOrder="0"/>
    </xf>
    <xf borderId="21" fillId="19" fontId="1" numFmtId="0" xfId="0" applyAlignment="1" applyBorder="1" applyFill="1" applyFont="1">
      <alignment horizontal="center" readingOrder="0"/>
    </xf>
    <xf borderId="32" fillId="0" fontId="2" numFmtId="2" xfId="0" applyAlignment="1" applyBorder="1" applyFont="1" applyNumberFormat="1">
      <alignment horizontal="center" readingOrder="0"/>
    </xf>
    <xf borderId="28" fillId="20" fontId="1" numFmtId="0" xfId="0" applyAlignment="1" applyBorder="1" applyFill="1" applyFont="1">
      <alignment horizontal="center" readingOrder="0"/>
    </xf>
    <xf borderId="11" fillId="19" fontId="1" numFmtId="0" xfId="0" applyAlignment="1" applyBorder="1" applyFont="1">
      <alignment horizontal="center" readingOrder="0"/>
    </xf>
    <xf borderId="1" fillId="0" fontId="2" numFmtId="2" xfId="0" applyAlignment="1" applyBorder="1" applyFont="1" applyNumberFormat="1">
      <alignment horizontal="center" readingOrder="0"/>
    </xf>
    <xf borderId="33" fillId="0" fontId="3" numFmtId="0" xfId="0" applyBorder="1" applyFont="1"/>
    <xf borderId="8" fillId="19" fontId="1" numFmtId="0" xfId="0" applyAlignment="1" applyBorder="1" applyFont="1">
      <alignment horizontal="center" readingOrder="0"/>
    </xf>
    <xf borderId="34" fillId="0" fontId="2" numFmtId="164" xfId="0" applyAlignment="1" applyBorder="1" applyFont="1" applyNumberFormat="1">
      <alignment horizontal="center" readingOrder="0"/>
    </xf>
    <xf borderId="25" fillId="0" fontId="3" numFmtId="0" xfId="0" applyBorder="1" applyFont="1"/>
    <xf borderId="35" fillId="19" fontId="1" numFmtId="0" xfId="0" applyAlignment="1" applyBorder="1" applyFont="1">
      <alignment horizontal="center" readingOrder="0"/>
    </xf>
    <xf borderId="36" fillId="19" fontId="1" numFmtId="0" xfId="0" applyAlignment="1" applyBorder="1" applyFont="1">
      <alignment horizontal="center" readingOrder="0"/>
    </xf>
    <xf borderId="6" fillId="19" fontId="1" numFmtId="0" xfId="0" applyAlignment="1" applyBorder="1" applyFont="1">
      <alignment horizontal="center" readingOrder="0"/>
    </xf>
    <xf borderId="37" fillId="19" fontId="1" numFmtId="0" xfId="0" applyAlignment="1" applyBorder="1" applyFont="1">
      <alignment horizontal="center" readingOrder="0"/>
    </xf>
    <xf borderId="20" fillId="0" fontId="2" numFmtId="0" xfId="0" applyAlignment="1" applyBorder="1" applyFont="1">
      <alignment horizontal="center" readingOrder="0"/>
    </xf>
    <xf borderId="21" fillId="0" fontId="2" numFmtId="164" xfId="0" applyAlignment="1" applyBorder="1" applyFont="1" applyNumberFormat="1">
      <alignment horizontal="center"/>
    </xf>
    <xf borderId="11" fillId="0" fontId="2" numFmtId="164" xfId="0" applyAlignment="1" applyBorder="1" applyFont="1" applyNumberFormat="1">
      <alignment horizontal="center" readingOrder="0"/>
    </xf>
    <xf borderId="13" fillId="0" fontId="2" numFmtId="0" xfId="0" applyAlignment="1" applyBorder="1" applyFont="1">
      <alignment horizontal="center" readingOrder="0"/>
    </xf>
    <xf borderId="14" fillId="0" fontId="2" numFmtId="164" xfId="0" applyAlignment="1" applyBorder="1" applyFont="1" applyNumberFormat="1">
      <alignment horizontal="center"/>
    </xf>
    <xf borderId="14" fillId="0" fontId="2" numFmtId="164" xfId="0" applyAlignment="1" applyBorder="1" applyFont="1" applyNumberFormat="1">
      <alignment horizontal="center" readingOrder="0"/>
    </xf>
    <xf borderId="15" fillId="0" fontId="2" numFmtId="0" xfId="0" applyAlignment="1" applyBorder="1" applyFont="1">
      <alignment horizontal="center" readingOrder="0"/>
    </xf>
    <xf borderId="25" fillId="0" fontId="2" numFmtId="0" xfId="0" applyAlignment="1" applyBorder="1" applyFont="1">
      <alignment horizontal="left" readingOrder="0" shrinkToFit="0" wrapText="1"/>
    </xf>
    <xf borderId="16" fillId="13" fontId="1" numFmtId="0" xfId="0" applyAlignment="1" applyBorder="1" applyFont="1">
      <alignment horizontal="left" readingOrder="0"/>
    </xf>
    <xf borderId="25" fillId="21" fontId="1" numFmtId="0" xfId="0" applyAlignment="1" applyBorder="1" applyFill="1" applyFont="1">
      <alignment horizontal="left" readingOrder="0"/>
    </xf>
    <xf borderId="21" fillId="14" fontId="1" numFmtId="0" xfId="0" applyAlignment="1" applyBorder="1" applyFont="1">
      <alignment horizontal="center" readingOrder="0"/>
    </xf>
    <xf borderId="16" fillId="21" fontId="1" numFmtId="0" xfId="0" applyAlignment="1" applyBorder="1" applyFont="1">
      <alignment horizontal="left" readingOrder="0"/>
    </xf>
    <xf borderId="20" fillId="14" fontId="1" numFmtId="0" xfId="0" applyAlignment="1" applyBorder="1" applyFont="1">
      <alignment horizontal="center" readingOrder="0"/>
    </xf>
    <xf borderId="22" fillId="14" fontId="1" numFmtId="0" xfId="0" applyAlignment="1" applyBorder="1" applyFont="1">
      <alignment horizontal="center" readingOrder="0"/>
    </xf>
    <xf borderId="7" fillId="0" fontId="2" numFmtId="0" xfId="0" applyAlignment="1" applyBorder="1" applyFont="1">
      <alignment horizontal="center" readingOrder="0"/>
    </xf>
    <xf borderId="8" fillId="0" fontId="2" numFmtId="164" xfId="0" applyAlignment="1" applyBorder="1" applyFont="1" applyNumberFormat="1">
      <alignment horizontal="center"/>
    </xf>
    <xf borderId="32" fillId="14" fontId="1" numFmtId="0" xfId="0" applyAlignment="1" applyBorder="1" applyFont="1">
      <alignment horizontal="center" readingOrder="0"/>
    </xf>
    <xf borderId="38" fillId="0" fontId="3" numFmtId="0" xfId="0" applyBorder="1" applyFont="1"/>
    <xf borderId="25"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0</xdr:rowOff>
    </xdr:from>
    <xdr:ext cx="13335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54</xdr:row>
      <xdr:rowOff>0</xdr:rowOff>
    </xdr:from>
    <xdr:ext cx="15240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2"/>
  <cols>
    <col customWidth="1" min="1" max="1" width="28.38"/>
    <col customWidth="1" min="2" max="2" width="25.0"/>
    <col customWidth="1" min="3" max="3" width="27.88"/>
    <col customWidth="1" min="4" max="4" width="28.0"/>
    <col customWidth="1" min="5" max="6" width="21.5"/>
    <col hidden="1" min="7" max="26" width="12.63"/>
  </cols>
  <sheetData>
    <row r="1">
      <c r="A1" s="6" t="s">
        <v>2</v>
      </c>
      <c r="B1" s="8"/>
      <c r="C1" s="9"/>
    </row>
    <row r="2" outlineLevel="1">
      <c r="A2" s="10" t="s">
        <v>4</v>
      </c>
      <c r="B2" s="12" t="s">
        <v>6</v>
      </c>
      <c r="C2" s="13"/>
    </row>
    <row r="3" outlineLevel="1" collapsed="1">
      <c r="A3" s="15" t="s">
        <v>9</v>
      </c>
      <c r="B3" s="8"/>
      <c r="C3" s="9"/>
    </row>
    <row r="4" hidden="1" outlineLevel="2">
      <c r="A4" s="16" t="s">
        <v>11</v>
      </c>
      <c r="B4" s="18" t="s">
        <v>13</v>
      </c>
      <c r="C4" s="19" t="s">
        <v>14</v>
      </c>
    </row>
    <row r="5" hidden="1" outlineLevel="2">
      <c r="A5" s="21" t="s">
        <v>16</v>
      </c>
      <c r="B5" s="22" t="s">
        <v>18</v>
      </c>
      <c r="C5" s="23" t="s">
        <v>19</v>
      </c>
    </row>
    <row r="6" outlineLevel="1">
      <c r="A6" s="15" t="s">
        <v>20</v>
      </c>
      <c r="B6" s="8"/>
      <c r="C6" s="9"/>
    </row>
    <row r="7" outlineLevel="2">
      <c r="A7" s="16" t="s">
        <v>11</v>
      </c>
      <c r="B7" s="18" t="s">
        <v>22</v>
      </c>
      <c r="C7" s="19"/>
    </row>
    <row r="8" outlineLevel="2">
      <c r="A8" s="10" t="s">
        <v>23</v>
      </c>
      <c r="B8" s="12">
        <v>24.0</v>
      </c>
      <c r="C8" s="13"/>
    </row>
    <row r="9" outlineLevel="1" collapsed="1">
      <c r="A9" s="15" t="s">
        <v>25</v>
      </c>
      <c r="B9" s="8"/>
      <c r="C9" s="9"/>
    </row>
    <row r="10" hidden="1" outlineLevel="2">
      <c r="A10" s="16" t="s">
        <v>26</v>
      </c>
      <c r="B10" s="18" t="s">
        <v>27</v>
      </c>
      <c r="C10" s="26"/>
    </row>
    <row r="11" hidden="1" outlineLevel="2">
      <c r="A11" s="16" t="s">
        <v>28</v>
      </c>
      <c r="B11" s="18" t="s">
        <v>30</v>
      </c>
      <c r="C11" s="26"/>
    </row>
    <row r="12" hidden="1" outlineLevel="2">
      <c r="A12" s="16" t="s">
        <v>31</v>
      </c>
      <c r="B12" s="30">
        <f>IF(B10="Cetoacidosis Leve",50,IF(B10="Cetoacidosis Moderada",70,IF(B10="Cetoacidosis Grave",100)))</f>
        <v>70</v>
      </c>
      <c r="C12" s="26"/>
    </row>
    <row r="13" hidden="1" outlineLevel="2">
      <c r="A13" s="31" t="s">
        <v>34</v>
      </c>
      <c r="B13" s="22">
        <v>2.0</v>
      </c>
      <c r="C13" s="33" t="s">
        <v>35</v>
      </c>
    </row>
    <row r="15">
      <c r="A15" s="6" t="s">
        <v>7</v>
      </c>
      <c r="B15" s="9"/>
    </row>
    <row r="16" outlineLevel="1">
      <c r="A16" s="16" t="s">
        <v>37</v>
      </c>
      <c r="B16" s="35">
        <v>15.0</v>
      </c>
    </row>
    <row r="17" outlineLevel="1">
      <c r="A17" s="10" t="s">
        <v>38</v>
      </c>
      <c r="B17" s="36" t="s">
        <v>39</v>
      </c>
    </row>
    <row r="18" outlineLevel="1">
      <c r="A18" s="10" t="s">
        <v>40</v>
      </c>
      <c r="B18" s="37">
        <v>35.0</v>
      </c>
    </row>
    <row r="19" outlineLevel="1">
      <c r="A19" s="38" t="s">
        <v>41</v>
      </c>
      <c r="B19" s="39">
        <v>25.0</v>
      </c>
    </row>
    <row r="20" outlineLevel="1">
      <c r="A20" s="38" t="s">
        <v>42</v>
      </c>
      <c r="B20" s="39">
        <v>3.0</v>
      </c>
    </row>
    <row r="23" collapsed="1">
      <c r="A23" s="40" t="s">
        <v>15</v>
      </c>
      <c r="B23" s="41"/>
      <c r="C23" s="41"/>
      <c r="D23" s="41"/>
      <c r="E23" s="41"/>
      <c r="F23" s="42"/>
    </row>
    <row r="24" hidden="1" outlineLevel="1">
      <c r="A24" s="43" t="s">
        <v>43</v>
      </c>
      <c r="B24" s="41"/>
      <c r="C24" s="41"/>
      <c r="D24" s="41"/>
      <c r="E24" s="41"/>
      <c r="F24" s="42"/>
    </row>
    <row r="25" hidden="1" outlineLevel="1" collapsed="1">
      <c r="A25" s="44" t="s">
        <v>44</v>
      </c>
      <c r="B25" s="8"/>
      <c r="C25" s="9"/>
      <c r="E25" s="4"/>
      <c r="F25" s="45"/>
    </row>
    <row r="26" hidden="1" outlineLevel="2">
      <c r="A26" s="46" t="s">
        <v>45</v>
      </c>
      <c r="B26" s="47" t="s">
        <v>46</v>
      </c>
      <c r="C26" s="48" t="s">
        <v>47</v>
      </c>
      <c r="F26" s="45"/>
    </row>
    <row r="27" hidden="1" outlineLevel="2">
      <c r="A27" s="49" t="b">
        <f>IF(and(B2="Enfermedad Diarreica Aguda",B4="Plan A",B16&lt;2),50,if(and(B2="Enfermedad Diarreica Aguda",B4="Plan A",B16&gt;=2),100))</f>
        <v>0</v>
      </c>
      <c r="B27" s="50" t="b">
        <f>IF(and(B2="Enfermedad Diarreica Aguda",B4="Plan A",B16&lt;2),100,if(and(B2="Enfermedad Diarreica Aguda",B4="Plan A",B16&gt;=2),200))</f>
        <v>0</v>
      </c>
      <c r="C27" s="51" t="b">
        <f>IF(and(B2="Enfermedad Diarreica Aguda",B4="Plan A"),"Está cantidad de líquido oral es después de cada deposición")</f>
        <v>0</v>
      </c>
      <c r="F27" s="45"/>
    </row>
    <row r="28" hidden="1" outlineLevel="1" collapsed="1">
      <c r="A28" s="52" t="s">
        <v>48</v>
      </c>
      <c r="B28" s="8"/>
      <c r="C28" s="8"/>
      <c r="D28" s="9"/>
      <c r="F28" s="45"/>
    </row>
    <row r="29" hidden="1" outlineLevel="2">
      <c r="A29" s="53" t="s">
        <v>49</v>
      </c>
      <c r="B29" s="47" t="s">
        <v>50</v>
      </c>
      <c r="C29" s="54" t="s">
        <v>51</v>
      </c>
      <c r="D29" s="48" t="s">
        <v>47</v>
      </c>
      <c r="F29" s="45"/>
    </row>
    <row r="30" hidden="1" outlineLevel="2">
      <c r="A30" s="49" t="b">
        <f>IF(and(B2="Enfermedad Diarreica Aguda",B4="Plan B"),B18*B19)</f>
        <v>0</v>
      </c>
      <c r="B30" s="50" t="b">
        <f>IF(and(B2="Enfermedad Diarreica Aguda",B4="Plan B"),4)</f>
        <v>0</v>
      </c>
      <c r="C30" s="50">
        <f>A30*B30</f>
        <v>0</v>
      </c>
      <c r="D30" s="51" t="b">
        <f>IF(and(B2="Enfermedad Diarreica Aguda",B4="Plan B"),"Puede ser por vía oral o parental, de acuerdo a la tolerancia del paciente")</f>
        <v>0</v>
      </c>
      <c r="F30" s="45"/>
    </row>
    <row r="31" hidden="1" outlineLevel="1" collapsed="1">
      <c r="A31" s="55" t="s">
        <v>52</v>
      </c>
      <c r="B31" s="41"/>
      <c r="C31" s="41"/>
      <c r="D31" s="41"/>
      <c r="E31" s="41"/>
      <c r="F31" s="42"/>
    </row>
    <row r="32" hidden="1" outlineLevel="2">
      <c r="A32" s="56" t="s">
        <v>53</v>
      </c>
      <c r="B32" s="57" t="s">
        <v>54</v>
      </c>
      <c r="C32" s="58" t="s">
        <v>55</v>
      </c>
      <c r="D32" s="58" t="s">
        <v>56</v>
      </c>
      <c r="E32" s="57" t="s">
        <v>57</v>
      </c>
      <c r="F32" s="59" t="s">
        <v>47</v>
      </c>
    </row>
    <row r="33" hidden="1" outlineLevel="2">
      <c r="A33" s="60" t="s">
        <v>58</v>
      </c>
      <c r="B33" s="30" t="b">
        <f>IF(and(B2="Enfermedad Diarreica Aguda",B4="Plan C",B5="Shock Hipovolemico",B17="Si"),"Primero Bolo")</f>
        <v>0</v>
      </c>
      <c r="C33" s="18" t="b">
        <f>IF(and(B2="Enfermedad Diarreica Aguda",B4="Plan C",B5="Shock Hipovolemico",B17="Si"),20*B18)</f>
        <v>0</v>
      </c>
      <c r="D33" s="30" t="b">
        <f>IF(and(B2="Enfermedad Diarreica Aguda",B4="Plan C",B5="Shock Hipovolemico",B17="Si"),30*B18)</f>
        <v>0</v>
      </c>
      <c r="E33" s="30"/>
      <c r="F33" s="26"/>
    </row>
    <row r="34" hidden="1" outlineLevel="2">
      <c r="A34" s="61"/>
      <c r="B34" s="30" t="b">
        <f>IF(and(B2="Enfermedad Diarreica Aguda",B4="Plan C",B5="Shock Hipovolemico",B17="Si"),"1 Hora")</f>
        <v>0</v>
      </c>
      <c r="C34" s="30"/>
      <c r="D34" s="30"/>
      <c r="E34" s="30" t="b">
        <f>IF(and(B2="Enfermedad Diarreica Aguda",B4="Plan C",B5="Shock Hipovolemico",B17="Si"),30*B18)</f>
        <v>0</v>
      </c>
      <c r="F34" s="26" t="b">
        <f>IF(and(B2="Enfermedad Diarreica Aguda",B4="Plan C",B5="Shock Hipovolemico",B17="Si"),"Después del Bolo")</f>
        <v>0</v>
      </c>
    </row>
    <row r="35" hidden="1" outlineLevel="2">
      <c r="A35" s="62"/>
      <c r="B35" s="30" t="b">
        <f>IF(and(B2="Enfermedad Diarreica Aguda",B4="Plan C",B5="Shock Hipovolemico",B17="Si"),"5 Horas")</f>
        <v>0</v>
      </c>
      <c r="C35" s="30"/>
      <c r="D35" s="30"/>
      <c r="E35" s="30" t="b">
        <f>IF(and(B2="Enfermedad Diarreica Aguda",B4="Plan C",B5="Shock Hipovolemico",B17="Si"),70*B18)</f>
        <v>0</v>
      </c>
      <c r="F35" s="26" t="b">
        <f>IF(and(B2="Enfermedad Diarreica Aguda",B4="Plan C",B5="Shock Hipovolemico",B17="Si"),"Después de la primera hora")</f>
        <v>0</v>
      </c>
    </row>
    <row r="36" hidden="1" outlineLevel="2">
      <c r="A36" s="60" t="s">
        <v>59</v>
      </c>
      <c r="B36" s="30" t="b">
        <f>IF(and(B2="Enfermedad Diarreica Aguda",B4="Plan C",B5="Shock Hipovolemico",B17="No"),"Primero Bolo")</f>
        <v>0</v>
      </c>
      <c r="C36" s="18" t="b">
        <f>IF(and(B2="Enfermedad Diarreica Aguda",B4="Plan C",B5="Shock Hipovolemico",B17="No"),20*B18)</f>
        <v>0</v>
      </c>
      <c r="D36" s="30" t="b">
        <f>IF(and(B2="Enfermedad Diarreica Aguda",B4="Plan C",B5="Shock Hipovolemico",B17="No"),30*B18)</f>
        <v>0</v>
      </c>
      <c r="E36" s="30"/>
      <c r="F36" s="26"/>
    </row>
    <row r="37" hidden="1" outlineLevel="2">
      <c r="A37" s="61"/>
      <c r="B37" s="30" t="b">
        <f>IF(and(B2="Enfermedad Diarreica Aguda",B4="Plan C",B5="Shock Hipovolemico",B17="No"),"30 minutos")</f>
        <v>0</v>
      </c>
      <c r="C37" s="30"/>
      <c r="D37" s="30"/>
      <c r="E37" s="30" t="b">
        <f>IF(and(B2="Enfermedad Diarreica Aguda",B4="Plan C",B5="Shock Hipovolemico",B17="No"),30*B18)</f>
        <v>0</v>
      </c>
      <c r="F37" s="26" t="b">
        <f>IF(and(B2="Enfermedad Diarreica Aguda",B4="Plan C",B5="Shock Hipovolemico",B17="No"),"Después del Bolo")</f>
        <v>0</v>
      </c>
    </row>
    <row r="38" hidden="1" outlineLevel="2">
      <c r="A38" s="63"/>
      <c r="B38" s="50" t="b">
        <f>IF(and(B2="Enfermedad Diarreica Aguda",B4="Plan C",B5="Shock Hipovolemico",B17="No"),"2 Horas y media")</f>
        <v>0</v>
      </c>
      <c r="C38" s="50"/>
      <c r="D38" s="50"/>
      <c r="E38" s="50" t="b">
        <f>IF(and(B2="Enfermedad Diarreica Aguda",B4="Plan C",B5="Shock Hipovolemico",B17="No"),70*B18)</f>
        <v>0</v>
      </c>
      <c r="F38" s="64" t="b">
        <f>IF(and(B2="Enfermedad Diarreica Aguda",B4="Plan C",B5="Shock Hipovolemico",B17="No"),"Después de los primeros 30 minutos")</f>
        <v>0</v>
      </c>
    </row>
    <row r="39" hidden="1" outlineLevel="1" collapsed="1">
      <c r="A39" s="44" t="s">
        <v>60</v>
      </c>
      <c r="B39" s="8"/>
      <c r="C39" s="8"/>
      <c r="D39" s="9"/>
      <c r="E39" s="4"/>
      <c r="F39" s="45"/>
    </row>
    <row r="40" hidden="1" outlineLevel="2">
      <c r="A40" s="53" t="s">
        <v>53</v>
      </c>
      <c r="B40" s="54" t="s">
        <v>54</v>
      </c>
      <c r="C40" s="54" t="s">
        <v>57</v>
      </c>
      <c r="D40" s="48" t="s">
        <v>47</v>
      </c>
      <c r="F40" s="45"/>
    </row>
    <row r="41" hidden="1" outlineLevel="2">
      <c r="A41" s="60" t="s">
        <v>58</v>
      </c>
      <c r="B41" s="30" t="b">
        <f>IF(and(B2="Enfermedad Diarreica Aguda",B4="Plan C",B5="Deshidratación Grave",B17="Si"),"1 Hora")</f>
        <v>0</v>
      </c>
      <c r="C41" s="30" t="b">
        <f>IF(and(B2="Enfermedad Diarreica Aguda",B4="Plan C",B5="Deshidratación Grave",B17="Si"),30*B18)</f>
        <v>0</v>
      </c>
      <c r="D41" s="26" t="b">
        <f>IF(and(B2="Enfermedad Diarreica Aguda",B4="Plan C",B5="Deshidratación Grave",B17="Si"),"No necesita Bolo")</f>
        <v>0</v>
      </c>
      <c r="F41" s="45"/>
    </row>
    <row r="42" hidden="1" outlineLevel="2">
      <c r="A42" s="62"/>
      <c r="B42" s="30" t="b">
        <f>IF(and(B2="Enfermedad Diarreica Aguda",B4="Plan C",B5="Deshidratación Grave",B17="Si"),"5 Horas")</f>
        <v>0</v>
      </c>
      <c r="C42" s="30" t="b">
        <f>IF(and(B2="Enfermedad Diarreica Aguda",B4="Plan C",B5="Deshidratación Grave",B17="Si"),70*B18)</f>
        <v>0</v>
      </c>
      <c r="D42" s="26" t="b">
        <f>IF(and(B2="Enfermedad Diarreica Aguda",B4="Plan C",B5="Deshidratación Grave",B17="Si"),"Después de la primera hora")</f>
        <v>0</v>
      </c>
      <c r="F42" s="45"/>
    </row>
    <row r="43" hidden="1" outlineLevel="2">
      <c r="A43" s="60" t="s">
        <v>59</v>
      </c>
      <c r="B43" s="30" t="b">
        <f>IF(and(B2="Enfermedad Diarreica Aguda",B4="Plan C",B5="Deshidratación Grave",B17="No"),"30 minutos")</f>
        <v>0</v>
      </c>
      <c r="C43" s="30" t="b">
        <f>IF(and(B2="Enfermedad Diarreica Aguda",B4="Plan C",B5="Deshidratación Grave",B17="No"),30*B18)</f>
        <v>0</v>
      </c>
      <c r="D43" s="26" t="b">
        <f>IF(and(B2="Enfermedad Diarreica Aguda",B4="Plan C",B5="Deshidratación Grave",B17="No"),"No necesita Bolo")</f>
        <v>0</v>
      </c>
      <c r="F43" s="45"/>
    </row>
    <row r="44" hidden="1" outlineLevel="2">
      <c r="A44" s="63"/>
      <c r="B44" s="50" t="b">
        <f>IF(and(B2="Enfermedad Diarreica Aguda",B4="Plan C",B5="Deshidratación Grave",B17="No"),"2 Horas y media")</f>
        <v>0</v>
      </c>
      <c r="C44" s="50" t="b">
        <f>IF(and(B2="Enfermedad Diarreica Aguda",B4="Plan C",B5="Deshidratación Grave",B17="No"),70*B18)</f>
        <v>0</v>
      </c>
      <c r="D44" s="64" t="b">
        <f>IF(and(B2="Enfermedad Diarreica Aguda",B4="Plan C",B5="Deshidratación Grave",B17="No"),"Después de los primeros 30 minutos")</f>
        <v>0</v>
      </c>
      <c r="F44" s="45"/>
    </row>
    <row r="45" hidden="1" outlineLevel="1">
      <c r="A45" s="65" t="s">
        <v>61</v>
      </c>
      <c r="B45" s="41"/>
      <c r="C45" s="41"/>
      <c r="D45" s="42"/>
      <c r="F45" s="45"/>
    </row>
    <row r="46" hidden="1" outlineLevel="1">
      <c r="A46" s="66" t="s">
        <v>62</v>
      </c>
      <c r="B46" s="67"/>
      <c r="C46" s="67"/>
      <c r="D46" s="68"/>
      <c r="E46" s="67"/>
      <c r="F46" s="68"/>
    </row>
    <row r="47" collapsed="1">
      <c r="A47" s="25" t="s">
        <v>24</v>
      </c>
      <c r="B47" s="5"/>
      <c r="C47" s="5"/>
      <c r="D47" s="5"/>
      <c r="E47" s="5"/>
      <c r="F47" s="7"/>
    </row>
    <row r="48" hidden="1" outlineLevel="1" collapsed="1">
      <c r="A48" s="69" t="s">
        <v>43</v>
      </c>
      <c r="B48" s="41"/>
      <c r="C48" s="41"/>
      <c r="D48" s="42"/>
      <c r="F48" s="70"/>
    </row>
    <row r="49" hidden="1" outlineLevel="2">
      <c r="A49" s="71" t="s">
        <v>63</v>
      </c>
      <c r="B49" s="72" t="s">
        <v>64</v>
      </c>
      <c r="C49" s="72" t="s">
        <v>65</v>
      </c>
      <c r="D49" s="73" t="s">
        <v>47</v>
      </c>
      <c r="F49" s="70"/>
    </row>
    <row r="50" hidden="1" outlineLevel="2">
      <c r="A50" s="74" t="s">
        <v>66</v>
      </c>
      <c r="B50" s="75" t="b">
        <f>IF(and(B2="Liquidos de Matenimiento",B18&gt;=3,B18&lt;10),100*B18)</f>
        <v>0</v>
      </c>
      <c r="C50" s="76">
        <f t="shared" ref="C50:C52" si="1">B50/24</f>
        <v>0</v>
      </c>
      <c r="D50" s="77"/>
      <c r="F50" s="70"/>
    </row>
    <row r="51" hidden="1" outlineLevel="2">
      <c r="A51" s="74" t="s">
        <v>67</v>
      </c>
      <c r="B51" s="75" t="b">
        <f>IF(and(B2="Liquidos de Matenimiento",B18&gt;=10,B18&lt;20),1000+(IF(B18&lt;=10,0,(B18-10)*50)))</f>
        <v>0</v>
      </c>
      <c r="C51" s="76">
        <f t="shared" si="1"/>
        <v>0</v>
      </c>
      <c r="D51" s="77"/>
      <c r="F51" s="70"/>
    </row>
    <row r="52" hidden="1" outlineLevel="2">
      <c r="A52" s="74" t="s">
        <v>68</v>
      </c>
      <c r="B52" s="78" t="b">
        <f>IF(and(B2="Liquidos de Matenimiento",B18&gt;=20,B18&lt;=30),1500+(IF(B18&lt;=20,0,(B18-20)*20)))</f>
        <v>0</v>
      </c>
      <c r="C52" s="76">
        <f t="shared" si="1"/>
        <v>0</v>
      </c>
      <c r="D52" s="79"/>
      <c r="F52" s="70"/>
    </row>
    <row r="53" hidden="1" outlineLevel="1" collapsed="1">
      <c r="A53" s="80" t="s">
        <v>69</v>
      </c>
      <c r="B53" s="81"/>
      <c r="C53" s="81"/>
      <c r="D53" s="82"/>
      <c r="F53" s="70"/>
    </row>
    <row r="54" hidden="1" outlineLevel="2">
      <c r="A54" s="83" t="s">
        <v>70</v>
      </c>
      <c r="B54" s="9"/>
      <c r="C54" s="83" t="s">
        <v>71</v>
      </c>
      <c r="D54" s="9"/>
      <c r="F54" s="70"/>
    </row>
    <row r="55" hidden="1" outlineLevel="2">
      <c r="A55" s="84" t="s">
        <v>72</v>
      </c>
      <c r="B55" s="85" t="s">
        <v>73</v>
      </c>
      <c r="C55" s="84" t="s">
        <v>72</v>
      </c>
      <c r="D55" s="85" t="s">
        <v>73</v>
      </c>
      <c r="F55" s="70"/>
    </row>
    <row r="56" hidden="1" outlineLevel="2">
      <c r="A56" s="86" t="b">
        <f>IF(and(B2="Liquidos de Matenimiento",B18&gt;30),1500*IF(B18&lt;10,(((B18*4)+9)/100),(((B18*4)+7)/(B18+90))))</f>
        <v>0</v>
      </c>
      <c r="B56" s="87" t="b">
        <f>IF(and(B2="Liquidos de Matenimiento",B18&gt;30),1800*IF(B18&lt;10,(((B18*4)+9)/100),(((B18*4)+7)/(B18+90))))</f>
        <v>0</v>
      </c>
      <c r="C56" s="88">
        <f t="shared" ref="C56:D56" si="2">A56/24</f>
        <v>0</v>
      </c>
      <c r="D56" s="89">
        <f t="shared" si="2"/>
        <v>0</v>
      </c>
      <c r="F56" s="70"/>
    </row>
    <row r="57" hidden="1" outlineLevel="1">
      <c r="A57" s="90" t="s">
        <v>61</v>
      </c>
      <c r="B57" s="41"/>
      <c r="C57" s="41"/>
      <c r="D57" s="42"/>
      <c r="F57" s="70"/>
    </row>
    <row r="58" hidden="1" outlineLevel="1">
      <c r="A58" s="91"/>
      <c r="B58" s="67"/>
      <c r="C58" s="67"/>
      <c r="D58" s="68"/>
      <c r="E58" s="92"/>
      <c r="F58" s="93"/>
    </row>
    <row r="59">
      <c r="A59" s="94" t="s">
        <v>6</v>
      </c>
      <c r="B59" s="41"/>
      <c r="C59" s="41"/>
      <c r="D59" s="41"/>
      <c r="E59" s="41"/>
      <c r="F59" s="42"/>
    </row>
    <row r="60" outlineLevel="1">
      <c r="A60" s="95" t="s">
        <v>43</v>
      </c>
      <c r="B60" s="41"/>
      <c r="C60" s="41"/>
      <c r="D60" s="42"/>
      <c r="F60" s="70"/>
    </row>
    <row r="61" outlineLevel="1">
      <c r="A61" s="96" t="s">
        <v>74</v>
      </c>
      <c r="B61" s="97">
        <f>IF(B18&lt;10,(((B18*4)+9)/100),(((B18*4)+7)/(B18+90)))</f>
        <v>1.176</v>
      </c>
      <c r="C61" s="98"/>
      <c r="D61" s="82"/>
      <c r="F61" s="70"/>
    </row>
    <row r="62" outlineLevel="1">
      <c r="A62" s="99" t="s">
        <v>75</v>
      </c>
      <c r="B62" s="100">
        <f>B61*(B8/100)</f>
        <v>0.28224</v>
      </c>
      <c r="C62" s="101"/>
      <c r="D62" s="45"/>
      <c r="F62" s="70"/>
    </row>
    <row r="63" outlineLevel="1">
      <c r="A63" s="102" t="s">
        <v>76</v>
      </c>
      <c r="B63" s="103">
        <f>IF(and(B7="Galveston",B2="Quemados"),((5000*B62)+(2000*B61)),IF(and(B7="Parkland Modificado",B16&gt;=14),(2*B18*B8),IF(B18&lt;30,IF(and(B18&gt;=3,B18&lt;10),(B20*B18*B8)+(100*B18),IF(and(B18&gt;=10,B18&lt;20),(1000+(IF(B18&lt;=10,0,(B18-10)*50))+(B20*B18*B8)),IF(and(B18&gt;=20,B18&lt;=30),(1500+(IF(B18&lt;=20,0,(B18-20)*20))+(B20*B18*B8))))),(B20*B18*B8))))</f>
        <v>3763.2</v>
      </c>
      <c r="C63" s="104"/>
      <c r="D63" s="68"/>
      <c r="F63" s="70"/>
    </row>
    <row r="64" outlineLevel="1">
      <c r="A64" s="105" t="s">
        <v>77</v>
      </c>
      <c r="B64" s="106" t="s">
        <v>78</v>
      </c>
      <c r="C64" s="107" t="s">
        <v>50</v>
      </c>
      <c r="D64" s="108" t="s">
        <v>79</v>
      </c>
      <c r="F64" s="70"/>
    </row>
    <row r="65" outlineLevel="1">
      <c r="A65" s="109" t="s">
        <v>80</v>
      </c>
      <c r="B65" s="110">
        <f t="shared" ref="B65:B66" si="3">D65/C65</f>
        <v>235.2</v>
      </c>
      <c r="C65" s="111">
        <v>8.0</v>
      </c>
      <c r="D65" s="77">
        <f>B63/2</f>
        <v>1881.6</v>
      </c>
      <c r="F65" s="70"/>
    </row>
    <row r="66" outlineLevel="1">
      <c r="A66" s="112" t="s">
        <v>81</v>
      </c>
      <c r="B66" s="113">
        <f t="shared" si="3"/>
        <v>117.6</v>
      </c>
      <c r="C66" s="114">
        <v>16.0</v>
      </c>
      <c r="D66" s="115">
        <f>B63/2</f>
        <v>1881.6</v>
      </c>
      <c r="F66" s="70"/>
    </row>
    <row r="67" outlineLevel="1">
      <c r="A67" s="95" t="s">
        <v>61</v>
      </c>
      <c r="B67" s="41"/>
      <c r="C67" s="41"/>
      <c r="D67" s="42"/>
      <c r="F67" s="70"/>
    </row>
    <row r="68" ht="40.5" customHeight="1" outlineLevel="1">
      <c r="A68" s="116" t="s">
        <v>82</v>
      </c>
      <c r="B68" s="67"/>
      <c r="C68" s="67"/>
      <c r="D68" s="68"/>
      <c r="E68" s="92"/>
      <c r="F68" s="93"/>
    </row>
    <row r="69">
      <c r="A69" s="117" t="s">
        <v>83</v>
      </c>
      <c r="B69" s="41"/>
      <c r="C69" s="41"/>
      <c r="D69" s="41"/>
      <c r="E69" s="41"/>
      <c r="F69" s="42"/>
    </row>
    <row r="70" outlineLevel="1" collapsed="1">
      <c r="A70" s="118" t="s">
        <v>28</v>
      </c>
      <c r="B70" s="67"/>
      <c r="C70" s="67"/>
      <c r="D70" s="68"/>
      <c r="F70" s="70"/>
    </row>
    <row r="71" hidden="1" outlineLevel="2">
      <c r="A71" s="119" t="s">
        <v>84</v>
      </c>
      <c r="B71" s="119" t="s">
        <v>85</v>
      </c>
      <c r="C71" s="4"/>
      <c r="D71" s="45"/>
      <c r="F71" s="70"/>
    </row>
    <row r="72" hidden="1" outlineLevel="2">
      <c r="A72" s="18" t="b">
        <f>IF(and(B2="Cetoacidosis Diabetica",B11="Si"),10*B18)</f>
        <v>0</v>
      </c>
      <c r="B72" s="30" t="b">
        <f>IF(and(B2="Cetoacidosis Diabetica",B11="Si"),20*B18)</f>
        <v>0</v>
      </c>
      <c r="C72" s="67"/>
      <c r="D72" s="68"/>
      <c r="F72" s="70"/>
    </row>
    <row r="73" outlineLevel="1" collapsed="1">
      <c r="A73" s="120" t="s">
        <v>43</v>
      </c>
      <c r="B73" s="41"/>
      <c r="C73" s="41"/>
      <c r="D73" s="42"/>
      <c r="F73" s="70"/>
    </row>
    <row r="74" hidden="1" outlineLevel="2">
      <c r="A74" s="121" t="s">
        <v>63</v>
      </c>
      <c r="B74" s="119" t="s">
        <v>86</v>
      </c>
      <c r="C74" s="119" t="s">
        <v>49</v>
      </c>
      <c r="D74" s="122" t="s">
        <v>47</v>
      </c>
      <c r="F74" s="70"/>
    </row>
    <row r="75" hidden="1" outlineLevel="2">
      <c r="A75" s="74" t="s">
        <v>87</v>
      </c>
      <c r="B75" s="75" t="b">
        <f>IF(and(B2="Cetoacidosis Diabetica",B18&gt;=3,B18&lt;=10),((100*B18)*B13)+(B12*B18))</f>
        <v>0</v>
      </c>
      <c r="C75" s="76">
        <f t="shared" ref="C75:C77" si="4">B75/48</f>
        <v>0</v>
      </c>
      <c r="D75" s="77"/>
      <c r="F75" s="70"/>
    </row>
    <row r="76" hidden="1" outlineLevel="2">
      <c r="A76" s="74" t="s">
        <v>67</v>
      </c>
      <c r="B76" s="75" t="b">
        <f>IF(and(B2="Cetoacidosis Diabetica",B18&gt;10,B18&lt;=20),((1000+(IF(B18&lt;10,0,(B18-10)*50)))*B13)+(B12*B18))</f>
        <v>0</v>
      </c>
      <c r="C76" s="76">
        <f t="shared" si="4"/>
        <v>0</v>
      </c>
      <c r="D76" s="77"/>
      <c r="F76" s="70"/>
    </row>
    <row r="77" hidden="1" outlineLevel="2">
      <c r="A77" s="123" t="s">
        <v>68</v>
      </c>
      <c r="B77" s="78" t="b">
        <f>IF(and(B2="Cetoacidosis Diabetica",B18&gt;20,B18&lt;=30),((1500+(IF(B18&lt;20,0,(B18-20)*20)))*B13)+(B12*B18))</f>
        <v>0</v>
      </c>
      <c r="C77" s="124">
        <f t="shared" si="4"/>
        <v>0</v>
      </c>
      <c r="D77" s="79"/>
      <c r="F77" s="70"/>
    </row>
    <row r="78" outlineLevel="1" collapsed="1">
      <c r="A78" s="120" t="s">
        <v>69</v>
      </c>
      <c r="B78" s="41"/>
      <c r="C78" s="41"/>
      <c r="D78" s="42"/>
      <c r="F78" s="70"/>
    </row>
    <row r="79" hidden="1" outlineLevel="2">
      <c r="A79" s="125" t="s">
        <v>70</v>
      </c>
      <c r="B79" s="126"/>
      <c r="C79" s="125" t="s">
        <v>71</v>
      </c>
      <c r="D79" s="126"/>
      <c r="F79" s="70"/>
    </row>
    <row r="80" hidden="1" outlineLevel="2">
      <c r="A80" s="119" t="s">
        <v>72</v>
      </c>
      <c r="B80" s="119" t="s">
        <v>73</v>
      </c>
      <c r="C80" s="119" t="s">
        <v>72</v>
      </c>
      <c r="D80" s="119" t="s">
        <v>73</v>
      </c>
      <c r="F80" s="70"/>
    </row>
    <row r="81" hidden="1" outlineLevel="2">
      <c r="A81" s="86" t="b">
        <f>IF(and(B2="Cetoacidosis Diabetica",B18&gt;30),2500*B61)</f>
        <v>0</v>
      </c>
      <c r="B81" s="87" t="b">
        <f>IF(and(B2="Cetoacidosis Diabetica",B18&gt;30),3000*B61)</f>
        <v>0</v>
      </c>
      <c r="C81" s="88">
        <f t="shared" ref="C81:D81" si="5">A81/24</f>
        <v>0</v>
      </c>
      <c r="D81" s="89">
        <f t="shared" si="5"/>
        <v>0</v>
      </c>
      <c r="F81" s="70"/>
    </row>
    <row r="82" outlineLevel="1">
      <c r="A82" s="120" t="s">
        <v>61</v>
      </c>
      <c r="B82" s="41"/>
      <c r="C82" s="41"/>
      <c r="D82" s="42"/>
      <c r="F82" s="70"/>
    </row>
    <row r="83" outlineLevel="1">
      <c r="A83" s="127" t="s">
        <v>88</v>
      </c>
      <c r="B83" s="67"/>
      <c r="C83" s="67"/>
      <c r="D83" s="68"/>
      <c r="E83" s="92"/>
      <c r="F83" s="93"/>
    </row>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sheetData>
  <mergeCells count="41">
    <mergeCell ref="A1:C1"/>
    <mergeCell ref="A3:C3"/>
    <mergeCell ref="A6:C6"/>
    <mergeCell ref="A9:C9"/>
    <mergeCell ref="A15:B15"/>
    <mergeCell ref="A23:F23"/>
    <mergeCell ref="A24:F24"/>
    <mergeCell ref="E25:F30"/>
    <mergeCell ref="E39:F46"/>
    <mergeCell ref="A25:C25"/>
    <mergeCell ref="D25:D27"/>
    <mergeCell ref="A28:D28"/>
    <mergeCell ref="A31:F31"/>
    <mergeCell ref="A33:A35"/>
    <mergeCell ref="A36:A38"/>
    <mergeCell ref="A39:D39"/>
    <mergeCell ref="A41:A42"/>
    <mergeCell ref="A43:A44"/>
    <mergeCell ref="A45:D45"/>
    <mergeCell ref="A46:D46"/>
    <mergeCell ref="A47:F47"/>
    <mergeCell ref="A48:D48"/>
    <mergeCell ref="A53:D53"/>
    <mergeCell ref="A54:B54"/>
    <mergeCell ref="C54:D54"/>
    <mergeCell ref="A57:D57"/>
    <mergeCell ref="A58:D58"/>
    <mergeCell ref="A59:F59"/>
    <mergeCell ref="A60:D60"/>
    <mergeCell ref="C61:D63"/>
    <mergeCell ref="A79:B79"/>
    <mergeCell ref="C79:D79"/>
    <mergeCell ref="A82:D82"/>
    <mergeCell ref="A83:D83"/>
    <mergeCell ref="A67:D67"/>
    <mergeCell ref="A68:D68"/>
    <mergeCell ref="A69:F69"/>
    <mergeCell ref="A70:D70"/>
    <mergeCell ref="C71:D72"/>
    <mergeCell ref="A73:D73"/>
    <mergeCell ref="A78:D78"/>
  </mergeCells>
  <dataValidations>
    <dataValidation type="list" allowBlank="1" showErrorMessage="1" sqref="B11 B17">
      <formula1>"Si,No"</formula1>
    </dataValidation>
    <dataValidation type="list" allowBlank="1" showErrorMessage="1" sqref="B2">
      <formula1>"Enfermedad Diarreica Aguda,Liquidos de Matenimiento,Quemados,Cetoacidosis Diabetica"</formula1>
    </dataValidation>
    <dataValidation type="list" allowBlank="1" showErrorMessage="1" sqref="B4">
      <formula1>"Plan A,Plan B,Plan C"</formula1>
    </dataValidation>
    <dataValidation type="list" allowBlank="1" showErrorMessage="1" sqref="B5">
      <formula1>"Deshidratación Grave,Shock Hipovolemico"</formula1>
    </dataValidation>
    <dataValidation type="list" allowBlank="1" showErrorMessage="1" sqref="B7">
      <formula1>"Parkland Modificado,Galveston"</formula1>
    </dataValidation>
    <dataValidation type="list" allowBlank="1" showErrorMessage="1" sqref="B10">
      <formula1>"Cetoacidosis Leve,Cetoacidosis Moderada,Cetoacidosis Grave"</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2"/>
  <cols>
    <col hidden="1" min="11" max="26" width="12.63"/>
  </cols>
  <sheetData>
    <row r="1" collapsed="1">
      <c r="A1" s="3" t="s">
        <v>1</v>
      </c>
      <c r="B1" s="5"/>
      <c r="C1" s="5"/>
      <c r="D1" s="5"/>
      <c r="E1" s="5"/>
      <c r="F1" s="5"/>
      <c r="G1" s="5"/>
      <c r="H1" s="5"/>
      <c r="I1" s="5"/>
      <c r="J1" s="7"/>
    </row>
    <row r="2" hidden="1" outlineLevel="1">
      <c r="A2" s="11" t="s">
        <v>5</v>
      </c>
      <c r="B2" s="5"/>
      <c r="C2" s="5"/>
      <c r="D2" s="5"/>
      <c r="E2" s="5"/>
      <c r="F2" s="5"/>
      <c r="G2" s="5"/>
      <c r="H2" s="5"/>
      <c r="I2" s="5"/>
      <c r="J2" s="7"/>
    </row>
    <row r="3" collapsed="1">
      <c r="A3" s="3" t="s">
        <v>7</v>
      </c>
      <c r="B3" s="5"/>
      <c r="C3" s="5"/>
      <c r="D3" s="5"/>
      <c r="E3" s="5"/>
      <c r="F3" s="5"/>
      <c r="G3" s="5"/>
      <c r="H3" s="5"/>
      <c r="I3" s="5"/>
      <c r="J3" s="7"/>
    </row>
    <row r="4" hidden="1" outlineLevel="1">
      <c r="A4" s="11" t="s">
        <v>10</v>
      </c>
      <c r="B4" s="5"/>
      <c r="C4" s="5"/>
      <c r="D4" s="5"/>
      <c r="E4" s="5"/>
      <c r="F4" s="5"/>
      <c r="G4" s="5"/>
      <c r="H4" s="5"/>
      <c r="I4" s="5"/>
      <c r="J4" s="7"/>
    </row>
    <row r="5" collapsed="1">
      <c r="A5" s="17" t="s">
        <v>12</v>
      </c>
      <c r="B5" s="5"/>
      <c r="C5" s="5"/>
      <c r="D5" s="5"/>
      <c r="E5" s="5"/>
      <c r="F5" s="5"/>
      <c r="G5" s="5"/>
      <c r="H5" s="5"/>
      <c r="I5" s="5"/>
      <c r="J5" s="7"/>
    </row>
    <row r="6" hidden="1" outlineLevel="1" collapsed="1">
      <c r="A6" s="20" t="s">
        <v>15</v>
      </c>
      <c r="B6" s="5"/>
      <c r="C6" s="5"/>
      <c r="D6" s="5"/>
      <c r="E6" s="5"/>
      <c r="F6" s="5"/>
      <c r="G6" s="5"/>
      <c r="H6" s="5"/>
      <c r="I6" s="5"/>
      <c r="J6" s="7"/>
    </row>
    <row r="7" hidden="1" outlineLevel="2">
      <c r="A7" s="24" t="s">
        <v>21</v>
      </c>
      <c r="B7" s="5"/>
      <c r="C7" s="5"/>
      <c r="D7" s="5"/>
      <c r="E7" s="5"/>
      <c r="F7" s="5"/>
      <c r="G7" s="5"/>
      <c r="H7" s="5"/>
      <c r="I7" s="5"/>
      <c r="J7" s="7"/>
    </row>
    <row r="8" hidden="1" outlineLevel="1" collapsed="1">
      <c r="A8" s="25" t="s">
        <v>24</v>
      </c>
      <c r="B8" s="5"/>
      <c r="C8" s="5"/>
      <c r="D8" s="5"/>
      <c r="E8" s="5"/>
      <c r="F8" s="5"/>
      <c r="G8" s="5"/>
      <c r="H8" s="5"/>
      <c r="I8" s="5"/>
      <c r="J8" s="7"/>
    </row>
    <row r="9" hidden="1" outlineLevel="2">
      <c r="A9" s="27" t="s">
        <v>29</v>
      </c>
      <c r="B9" s="5"/>
      <c r="C9" s="5"/>
      <c r="D9" s="5"/>
      <c r="E9" s="5"/>
      <c r="F9" s="5"/>
      <c r="G9" s="5"/>
      <c r="H9" s="5"/>
      <c r="I9" s="5"/>
      <c r="J9" s="7"/>
    </row>
    <row r="10" hidden="1" outlineLevel="1" collapsed="1">
      <c r="A10" s="28" t="s">
        <v>6</v>
      </c>
      <c r="B10" s="5"/>
      <c r="C10" s="5"/>
      <c r="D10" s="5"/>
      <c r="E10" s="5"/>
      <c r="F10" s="5"/>
      <c r="G10" s="5"/>
      <c r="H10" s="5"/>
      <c r="I10" s="5"/>
      <c r="J10" s="7"/>
    </row>
    <row r="11" ht="368.25" hidden="1" customHeight="1" outlineLevel="2">
      <c r="A11" s="29" t="s">
        <v>32</v>
      </c>
      <c r="B11" s="5"/>
      <c r="C11" s="5"/>
      <c r="D11" s="5"/>
      <c r="E11" s="5"/>
      <c r="F11" s="5"/>
      <c r="G11" s="5"/>
      <c r="H11" s="5"/>
      <c r="I11" s="5"/>
      <c r="J11" s="7"/>
    </row>
    <row r="12" hidden="1" outlineLevel="1" collapsed="1">
      <c r="A12" s="32" t="s">
        <v>33</v>
      </c>
      <c r="B12" s="5"/>
      <c r="C12" s="5"/>
      <c r="D12" s="5"/>
      <c r="E12" s="5"/>
      <c r="F12" s="5"/>
      <c r="G12" s="5"/>
      <c r="H12" s="5"/>
      <c r="I12" s="5"/>
      <c r="J12" s="7"/>
    </row>
    <row r="13" hidden="1" outlineLevel="2">
      <c r="A13" s="34" t="s">
        <v>36</v>
      </c>
      <c r="B13" s="5"/>
      <c r="C13" s="5"/>
      <c r="D13" s="5"/>
      <c r="E13" s="5"/>
      <c r="F13" s="5"/>
      <c r="G13" s="5"/>
      <c r="H13" s="5"/>
      <c r="I13" s="5"/>
      <c r="J13" s="7"/>
    </row>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13">
    <mergeCell ref="A8:J8"/>
    <mergeCell ref="A9:J9"/>
    <mergeCell ref="A10:J10"/>
    <mergeCell ref="A11:J11"/>
    <mergeCell ref="A12:J12"/>
    <mergeCell ref="A13:J13"/>
    <mergeCell ref="A1:J1"/>
    <mergeCell ref="A2:J2"/>
    <mergeCell ref="A3:J3"/>
    <mergeCell ref="A4:J4"/>
    <mergeCell ref="A5:J5"/>
    <mergeCell ref="A6:J6"/>
    <mergeCell ref="A7:J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2"/>
  <cols>
    <col customWidth="1" min="6" max="6" width="3.75"/>
    <col hidden="1" min="7" max="26" width="12.63"/>
  </cols>
  <sheetData>
    <row r="1">
      <c r="A1" s="1" t="s">
        <v>0</v>
      </c>
    </row>
    <row r="2">
      <c r="A2" s="4"/>
    </row>
    <row r="27">
      <c r="A27" s="1" t="s">
        <v>8</v>
      </c>
    </row>
    <row r="28">
      <c r="A28" s="14"/>
    </row>
    <row r="54">
      <c r="A54" s="1" t="s">
        <v>17</v>
      </c>
    </row>
    <row r="55">
      <c r="A55" s="14"/>
    </row>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6">
    <mergeCell ref="A1:F1"/>
    <mergeCell ref="A2:F26"/>
    <mergeCell ref="A27:F27"/>
    <mergeCell ref="A28:F53"/>
    <mergeCell ref="A54:F54"/>
    <mergeCell ref="A55:F79"/>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sheetData>
    <row r="1">
      <c r="A1" s="2" t="s">
        <v>3</v>
      </c>
      <c r="B1" s="2"/>
    </row>
  </sheetData>
  <drawing r:id="rId1"/>
</worksheet>
</file>